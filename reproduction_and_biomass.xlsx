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  <sheet state="visible" name="endo&amp;soil" sheetId="2" r:id="rId6"/>
  </sheets>
  <definedNames>
    <definedName hidden="1" localSheetId="1" name="_xlnm._FilterDatabase">'endo&amp;soil'!$A$1:$AI$295</definedName>
  </definedNames>
  <calcPr/>
</workbook>
</file>

<file path=xl/sharedStrings.xml><?xml version="1.0" encoding="utf-8"?>
<sst xmlns="http://schemas.openxmlformats.org/spreadsheetml/2006/main" count="2101" uniqueCount="209">
  <si>
    <t>Column name</t>
  </si>
  <si>
    <t>Column description</t>
  </si>
  <si>
    <t>Tray</t>
  </si>
  <si>
    <t>There are two trays for AGHY and one for ELVI</t>
  </si>
  <si>
    <t>Species</t>
  </si>
  <si>
    <r>
      <rPr>
        <rFont val="Arial"/>
        <color theme="1"/>
      </rPr>
      <t>There are two species, AGHY (</t>
    </r>
    <r>
      <rPr>
        <rFont val="Arial"/>
        <i/>
        <color theme="1"/>
      </rPr>
      <t>Agrostis hymalis</t>
    </r>
    <r>
      <rPr>
        <rFont val="Arial"/>
        <color theme="1"/>
      </rPr>
      <t>) and ELVI (</t>
    </r>
    <r>
      <rPr>
        <rFont val="Arial"/>
        <i/>
        <color theme="1"/>
      </rPr>
      <t>Elymus virginicus</t>
    </r>
    <r>
      <rPr>
        <rFont val="Arial"/>
        <color theme="1"/>
      </rPr>
      <t>)</t>
    </r>
  </si>
  <si>
    <t>Pop</t>
  </si>
  <si>
    <t>Seeds were sourced from four populations JLP (Jean Laffitte Park), LPEF (Lost Pines), PALM (Palmetto State Park), SJC (Ecolab property (owner Andy Stilley astilleypb72@gmail.com))</t>
  </si>
  <si>
    <t>Endo</t>
  </si>
  <si>
    <t>Endophyte status, E+ (endophyte present), E- (endophyte absent)</t>
  </si>
  <si>
    <t>Site</t>
  </si>
  <si>
    <t>Site that each soil came from BAS (Bastrop), BFL (Brackenridge Field Laboratory), HUN (Huntsville)</t>
  </si>
  <si>
    <t>Var1</t>
  </si>
  <si>
    <t>Row of tray (A , B, C, D, E, F, or G)</t>
  </si>
  <si>
    <t>Var2</t>
  </si>
  <si>
    <t>Coumn of tray (1, 2, 3, 4, 5, 6, 7, 8, 9, 10, 11, 12, 13, or 14)</t>
  </si>
  <si>
    <t>Location</t>
  </si>
  <si>
    <t>Position in Tray, a combination of Var 1 and Var 2</t>
  </si>
  <si>
    <t>Location of each plant within a tray, a combination of Var 1 and Var 2</t>
  </si>
  <si>
    <t>Birthday</t>
  </si>
  <si>
    <t>Date each seedling was transplated from agar to a conetainer of soil within a tray</t>
  </si>
  <si>
    <t>Jan8_census</t>
  </si>
  <si>
    <t>census of alive and dead plants taken on Jan 8, 2025. Dead plants were replaced if possible</t>
  </si>
  <si>
    <t>Replacement_(NEW BIRTHDAY)</t>
  </si>
  <si>
    <t>When an plant dies, it is replaced in the experiment. In this clolumn the date that the new plant is planted is recoded</t>
  </si>
  <si>
    <t>1st_date_collect</t>
  </si>
  <si>
    <t>1st date developed inflorescneces were collected</t>
  </si>
  <si>
    <t>2nd_date_collect</t>
  </si>
  <si>
    <t>2nd date developed inflorescneces were collected</t>
  </si>
  <si>
    <t>3rd_date_collect</t>
  </si>
  <si>
    <t>3rd date developed inflorescneces were collected</t>
  </si>
  <si>
    <t>spike_inflo_a</t>
  </si>
  <si>
    <t>number of spikelets counted from the 1st inflorescence measured</t>
  </si>
  <si>
    <t>spike_inflo_b</t>
  </si>
  <si>
    <t>number of spikelets counted from the 2nd inflorescence measured</t>
  </si>
  <si>
    <t>spike_inflo_c</t>
  </si>
  <si>
    <t>number of spikelets counted from the 3rd inflorescence measured</t>
  </si>
  <si>
    <t>spike_inflo_d</t>
  </si>
  <si>
    <t>number of spikelets counted from the 4th inflorescence measured</t>
  </si>
  <si>
    <t>spike_inflo_e</t>
  </si>
  <si>
    <t>number of spikelets counted from the 5th inflorescence measured</t>
  </si>
  <si>
    <t>spike_inflo_f</t>
  </si>
  <si>
    <t>number of spikelets counted from the 6th inflorescence measured</t>
  </si>
  <si>
    <t>spike_inflo_g</t>
  </si>
  <si>
    <t>number of spikelets counted from the 7th inflorescence measured</t>
  </si>
  <si>
    <t>spike_inflo_h</t>
  </si>
  <si>
    <t>number of spikelets counted from the 8th inflorescence measured</t>
  </si>
  <si>
    <t>spike_inflo_i</t>
  </si>
  <si>
    <t>number of spikelets counted from the 9th inflorescence measured</t>
  </si>
  <si>
    <t>spike_infl_j</t>
  </si>
  <si>
    <t>number of spikelets counted from the 10th inflorescence measured</t>
  </si>
  <si>
    <t>spike_inflos_unk</t>
  </si>
  <si>
    <t>number of spikelets and seeds counted, cannot be traced back to a specific inflorescence</t>
  </si>
  <si>
    <t>tot_spikelet</t>
  </si>
  <si>
    <t xml:space="preserve">Sum of the count of spikelets from each inflorescene counted. </t>
  </si>
  <si>
    <t>avg_spikelet</t>
  </si>
  <si>
    <t>mean number of spikelets among the inflorescences that were measured for number of spikelets</t>
  </si>
  <si>
    <t>total_inflo</t>
  </si>
  <si>
    <t>total number of inflorescences collected from each plant</t>
  </si>
  <si>
    <t>total_spik</t>
  </si>
  <si>
    <t>total number of spikelets calculated by multiplying average spikelet count and inflorescence count of each plant</t>
  </si>
  <si>
    <t>abg_mass_sans_inflo</t>
  </si>
  <si>
    <t>aboveground biomass excluding the mass of inflorescences and seeds</t>
  </si>
  <si>
    <t>seed save</t>
  </si>
  <si>
    <t>mass of inflorescences and seeds collected with the intention of using for future experiments</t>
  </si>
  <si>
    <t>seed squash</t>
  </si>
  <si>
    <t>mass of inflorescenses and seeds collected with the intention of being tested for endophyte presence/absemce</t>
  </si>
  <si>
    <t>Inflo_mass</t>
  </si>
  <si>
    <t>total mass of inflorecences and seeds from combining "seed save" and "seed squash"</t>
  </si>
  <si>
    <t>abg_mass_tot</t>
  </si>
  <si>
    <t>total mass of aboveground plant material including inflorescences and seeds</t>
  </si>
  <si>
    <t>NOTES</t>
  </si>
  <si>
    <t xml:space="preserve">notes </t>
  </si>
  <si>
    <t xml:space="preserve"> Endo</t>
  </si>
  <si>
    <t>tot_spikelet (of ones counted)</t>
  </si>
  <si>
    <t>total_spik(calculated)</t>
  </si>
  <si>
    <t>AGHY</t>
  </si>
  <si>
    <t>SJC</t>
  </si>
  <si>
    <t>E+</t>
  </si>
  <si>
    <t>SON</t>
  </si>
  <si>
    <t>A</t>
  </si>
  <si>
    <t>A1</t>
  </si>
  <si>
    <t>NA</t>
  </si>
  <si>
    <t>LPEF</t>
  </si>
  <si>
    <t>BAS</t>
  </si>
  <si>
    <t>A2</t>
  </si>
  <si>
    <t>E-</t>
  </si>
  <si>
    <t>KER</t>
  </si>
  <si>
    <t>A3</t>
  </si>
  <si>
    <t>no plant/ weeds</t>
  </si>
  <si>
    <t>HUN</t>
  </si>
  <si>
    <t>A4</t>
  </si>
  <si>
    <t>LAF</t>
  </si>
  <si>
    <t>A5</t>
  </si>
  <si>
    <t>A6</t>
  </si>
  <si>
    <t>A7</t>
  </si>
  <si>
    <t>A8</t>
  </si>
  <si>
    <t>A9</t>
  </si>
  <si>
    <t>A10</t>
  </si>
  <si>
    <t>BFL</t>
  </si>
  <si>
    <t>A11</t>
  </si>
  <si>
    <t>A12</t>
  </si>
  <si>
    <t>A13</t>
  </si>
  <si>
    <t>A14</t>
  </si>
  <si>
    <t>B</t>
  </si>
  <si>
    <t>B1</t>
  </si>
  <si>
    <t>COL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</si>
  <si>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</si>
  <si>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</si>
  <si>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</si>
  <si>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</si>
  <si>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</si>
  <si>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</si>
  <si>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</si>
  <si>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</si>
  <si>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</si>
  <si>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</si>
  <si>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</si>
  <si>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</si>
  <si>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</si>
  <si>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</t>
  </si>
  <si>
    <t>C1</t>
  </si>
  <si>
    <t>C2</t>
  </si>
  <si>
    <t>C3</t>
  </si>
  <si>
    <t>C4</t>
  </si>
  <si>
    <t>C5</t>
  </si>
  <si>
    <t>C6</t>
  </si>
  <si>
    <t>inflos were broken into multiple pieces, picked ones that were most intact</t>
  </si>
  <si>
    <t>C7</t>
  </si>
  <si>
    <t>C8</t>
  </si>
  <si>
    <t>C9</t>
  </si>
  <si>
    <t>C10</t>
  </si>
  <si>
    <t>C11</t>
  </si>
  <si>
    <t>C12</t>
  </si>
  <si>
    <t>C13</t>
  </si>
  <si>
    <t>9/2/0205</t>
  </si>
  <si>
    <t>C14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</si>
  <si>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</si>
  <si>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</si>
  <si>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</si>
  <si>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</si>
  <si>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</si>
  <si>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</si>
  <si>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</si>
  <si>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</si>
  <si>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</si>
  <si>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no soil/ empty</t>
  </si>
  <si>
    <t>D9</t>
  </si>
  <si>
    <t>D10</t>
  </si>
  <si>
    <t>D11</t>
  </si>
  <si>
    <t>D12</t>
  </si>
  <si>
    <t>D13</t>
  </si>
  <si>
    <t>D14</t>
  </si>
  <si>
    <t>E</t>
  </si>
  <si>
    <t>E1</t>
  </si>
  <si>
    <t>E2</t>
  </si>
  <si>
    <t>E3</t>
  </si>
  <si>
    <t>E4</t>
  </si>
  <si>
    <t>E5</t>
  </si>
  <si>
    <t>E6</t>
  </si>
  <si>
    <t>E7</t>
  </si>
  <si>
    <t>E8</t>
  </si>
  <si>
    <t>old sample, spikelets disintegrated</t>
  </si>
  <si>
    <t>E9</t>
  </si>
  <si>
    <t>E10</t>
  </si>
  <si>
    <t>E11</t>
  </si>
  <si>
    <t>E12</t>
  </si>
  <si>
    <t>E13</t>
  </si>
  <si>
    <t>E14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</si>
  <si>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</si>
  <si>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</si>
  <si>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</si>
  <si>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</si>
  <si>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</si>
  <si>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</si>
  <si>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</si>
  <si>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</si>
  <si>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</si>
  <si>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not enough samples, contains both save and squash</t>
  </si>
  <si>
    <t>F9</t>
  </si>
  <si>
    <t>F10</t>
  </si>
  <si>
    <t>F11</t>
  </si>
  <si>
    <t>F12</t>
  </si>
  <si>
    <t>F13</t>
  </si>
  <si>
    <t>F14</t>
  </si>
  <si>
    <t xml:space="preserve">  </t>
  </si>
  <si>
    <t>G</t>
  </si>
  <si>
    <t>G1</t>
  </si>
  <si>
    <t>G2</t>
  </si>
  <si>
    <t>G3</t>
  </si>
  <si>
    <t>G4</t>
  </si>
  <si>
    <t>G5</t>
  </si>
  <si>
    <t>G6</t>
  </si>
  <si>
    <t xml:space="preserve">2 planted in this container, kill 1 if both survive, no plant/ weeds </t>
  </si>
  <si>
    <t>G7</t>
  </si>
  <si>
    <t>G8</t>
  </si>
  <si>
    <t>G9</t>
  </si>
  <si>
    <t>G10</t>
  </si>
  <si>
    <t>G11</t>
  </si>
  <si>
    <t>G12</t>
  </si>
  <si>
    <t>G13</t>
  </si>
  <si>
    <t>G14</t>
  </si>
  <si>
    <t>A tiller was pulled when removing weeds - KS</t>
  </si>
  <si>
    <t xml:space="preserve"> </t>
  </si>
  <si>
    <t>old sample, spikelets disintegrated, no soil/ empty</t>
  </si>
  <si>
    <t>ELVI</t>
  </si>
  <si>
    <t>JLP</t>
  </si>
  <si>
    <t>PALM</t>
  </si>
  <si>
    <t>C2 (maybe +C7+C8 accidentally)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</si>
</sst>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"/>
    <numFmt numFmtId="166" formatCode="M/d/yyyy"/>
    <numFmt numFmtId="167" formatCode="mm/dd/yyyy"/>
    <numFmt numFmtId="168" formatCode="m/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1" xfId="0" applyAlignment="1" applyFont="1" applyNumberFormat="1">
      <alignment horizontal="right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166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167" xfId="0" applyAlignment="1" applyFont="1" applyNumberFormat="1">
      <alignment horizontal="right" readingOrder="0"/>
    </xf>
    <xf borderId="0" fillId="0" fontId="2" numFmtId="0" xfId="0" applyFont="1"/>
    <xf borderId="0" fillId="0" fontId="2" numFmtId="1" xfId="0" applyAlignment="1" applyFont="1" applyNumberFormat="1">
      <alignment horizontal="right" readingOrder="0"/>
    </xf>
    <xf borderId="0" fillId="2" fontId="2" numFmtId="0" xfId="0" applyAlignment="1" applyFill="1" applyFont="1">
      <alignment readingOrder="0"/>
    </xf>
    <xf borderId="0" fillId="2" fontId="2" numFmtId="164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2" fontId="2" numFmtId="0" xfId="0" applyFont="1"/>
    <xf borderId="0" fillId="2" fontId="2" numFmtId="1" xfId="0" applyAlignment="1" applyFont="1" applyNumberFormat="1">
      <alignment readingOrder="0"/>
    </xf>
    <xf borderId="0" fillId="2" fontId="2" numFmtId="1" xfId="0" applyAlignment="1" applyFont="1" applyNumberFormat="1">
      <alignment horizontal="right"/>
    </xf>
    <xf borderId="0" fillId="2" fontId="2" numFmtId="0" xfId="0" applyAlignment="1" applyFont="1">
      <alignment horizontal="right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0" fontId="2" numFmtId="167" xfId="0" applyAlignment="1" applyFont="1" applyNumberFormat="1">
      <alignment readingOrder="0"/>
    </xf>
    <xf borderId="0" fillId="2" fontId="2" numFmtId="0" xfId="0" applyAlignment="1" applyFont="1">
      <alignment horizontal="right" readingOrder="0"/>
    </xf>
    <xf borderId="0" fillId="0" fontId="2" numFmtId="1" xfId="0" applyFont="1" applyNumberFormat="1"/>
    <xf borderId="0" fillId="0" fontId="2" numFmtId="168" xfId="0" applyAlignment="1" applyFont="1" applyNumberFormat="1">
      <alignment readingOrder="0"/>
    </xf>
    <xf borderId="0" fillId="2" fontId="2" numFmtId="1" xfId="0" applyFont="1" applyNumberFormat="1"/>
    <xf borderId="0" fillId="2" fontId="2" numFmtId="0" xfId="0" applyAlignment="1" applyFont="1">
      <alignment horizontal="center" readingOrder="0"/>
    </xf>
    <xf borderId="0" fillId="3" fontId="2" numFmtId="0" xfId="0" applyFill="1" applyFont="1"/>
    <xf borderId="0" fillId="2" fontId="2" numFmtId="1" xfId="0" applyAlignment="1" applyFont="1" applyNumberFormat="1">
      <alignment horizontal="right" readingOrder="0"/>
    </xf>
    <xf borderId="0" fillId="4" fontId="2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92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16</v>
      </c>
      <c r="B10" s="2" t="s">
        <v>18</v>
      </c>
    </row>
    <row r="11">
      <c r="A11" s="2" t="s">
        <v>19</v>
      </c>
      <c r="B11" s="2" t="s">
        <v>20</v>
      </c>
    </row>
    <row r="12">
      <c r="A12" s="2" t="s">
        <v>21</v>
      </c>
      <c r="B12" s="2" t="s">
        <v>22</v>
      </c>
    </row>
    <row r="13">
      <c r="A13" s="2" t="s">
        <v>23</v>
      </c>
      <c r="B13" s="2" t="s">
        <v>24</v>
      </c>
    </row>
    <row r="14">
      <c r="A14" s="2" t="s">
        <v>25</v>
      </c>
      <c r="B14" s="2" t="s">
        <v>26</v>
      </c>
    </row>
    <row r="15">
      <c r="A15" s="2" t="s">
        <v>27</v>
      </c>
      <c r="B15" s="2" t="s">
        <v>28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18">
      <c r="A18" s="2" t="s">
        <v>33</v>
      </c>
      <c r="B18" s="2" t="s">
        <v>34</v>
      </c>
    </row>
    <row r="19">
      <c r="A19" s="2" t="s">
        <v>35</v>
      </c>
      <c r="B19" s="2" t="s">
        <v>36</v>
      </c>
    </row>
    <row r="20">
      <c r="A20" s="2" t="s">
        <v>37</v>
      </c>
      <c r="B20" s="2" t="s">
        <v>38</v>
      </c>
    </row>
    <row r="21">
      <c r="A21" s="2" t="s">
        <v>39</v>
      </c>
      <c r="B21" s="2" t="s">
        <v>40</v>
      </c>
    </row>
    <row r="22">
      <c r="A22" s="2" t="s">
        <v>41</v>
      </c>
      <c r="B22" s="2" t="s">
        <v>42</v>
      </c>
    </row>
    <row r="23">
      <c r="A23" s="2" t="s">
        <v>43</v>
      </c>
      <c r="B23" s="2" t="s">
        <v>44</v>
      </c>
    </row>
    <row r="24">
      <c r="A24" s="2" t="s">
        <v>45</v>
      </c>
      <c r="B24" s="2" t="s">
        <v>46</v>
      </c>
    </row>
    <row r="25">
      <c r="A25" s="2" t="s">
        <v>47</v>
      </c>
      <c r="B25" s="2" t="s">
        <v>48</v>
      </c>
    </row>
    <row r="26">
      <c r="A26" s="2" t="s">
        <v>49</v>
      </c>
      <c r="B26" s="2" t="s">
        <v>50</v>
      </c>
    </row>
    <row r="27">
      <c r="A27" s="2" t="s">
        <v>51</v>
      </c>
      <c r="B27" s="2" t="s">
        <v>52</v>
      </c>
    </row>
    <row r="28">
      <c r="A28" s="2" t="s">
        <v>53</v>
      </c>
      <c r="B28" s="2" t="s">
        <v>54</v>
      </c>
    </row>
    <row r="29">
      <c r="A29" s="2" t="s">
        <v>55</v>
      </c>
      <c r="B29" s="2" t="s">
        <v>56</v>
      </c>
    </row>
    <row r="30">
      <c r="A30" s="2" t="s">
        <v>57</v>
      </c>
      <c r="B30" s="2" t="s">
        <v>58</v>
      </c>
    </row>
    <row r="31">
      <c r="A31" s="2" t="s">
        <v>59</v>
      </c>
      <c r="B31" s="2" t="s">
        <v>60</v>
      </c>
    </row>
    <row r="32">
      <c r="A32" s="2" t="s">
        <v>61</v>
      </c>
      <c r="B32" s="2" t="s">
        <v>62</v>
      </c>
    </row>
    <row r="33">
      <c r="A33" s="2" t="s">
        <v>63</v>
      </c>
      <c r="B33" s="2" t="s">
        <v>64</v>
      </c>
    </row>
    <row r="34">
      <c r="A34" s="2" t="s">
        <v>65</v>
      </c>
      <c r="B34" s="2" t="s">
        <v>66</v>
      </c>
    </row>
    <row r="35">
      <c r="A35" s="2" t="s">
        <v>67</v>
      </c>
      <c r="B35" s="2" t="s">
        <v>68</v>
      </c>
    </row>
    <row r="36">
      <c r="A36" s="2" t="s">
        <v>69</v>
      </c>
      <c r="B36" s="2" t="s">
        <v>70</v>
      </c>
    </row>
    <row r="37">
      <c r="A37" s="2" t="s">
        <v>71</v>
      </c>
      <c r="B37" s="2" t="s">
        <v>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8.5"/>
    <col customWidth="1" min="3" max="3" width="6.63"/>
    <col customWidth="1" min="4" max="4" width="6.13"/>
    <col customWidth="1" min="5" max="5" width="5.88"/>
    <col customWidth="1" min="6" max="6" width="5.63"/>
    <col customWidth="1" min="7" max="7" width="6.13"/>
    <col customWidth="1" min="8" max="9" width="10.25"/>
    <col customWidth="1" min="10" max="10" width="12.88"/>
    <col customWidth="1" min="11" max="11" width="28.25"/>
    <col customWidth="1" min="12" max="12" width="14.5"/>
    <col customWidth="1" min="13" max="13" width="15.25"/>
    <col customWidth="1" min="14" max="21" width="15.88"/>
    <col customWidth="1" min="22" max="25" width="18.5"/>
    <col customWidth="1" min="26" max="26" width="15.88"/>
    <col customWidth="1" min="27" max="27" width="15.13"/>
    <col customWidth="1" min="28" max="34" width="23.88"/>
    <col customWidth="1" min="35" max="35" width="37.38"/>
  </cols>
  <sheetData>
    <row r="1">
      <c r="A1" s="1" t="s">
        <v>2</v>
      </c>
      <c r="B1" s="1" t="s">
        <v>4</v>
      </c>
      <c r="C1" s="1" t="s">
        <v>6</v>
      </c>
      <c r="D1" s="1" t="s">
        <v>73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35</v>
      </c>
      <c r="R1" s="1" t="s">
        <v>37</v>
      </c>
      <c r="S1" s="1" t="s">
        <v>39</v>
      </c>
      <c r="T1" s="1" t="s">
        <v>41</v>
      </c>
      <c r="U1" s="1" t="s">
        <v>43</v>
      </c>
      <c r="V1" s="1" t="s">
        <v>45</v>
      </c>
      <c r="W1" s="1" t="s">
        <v>47</v>
      </c>
      <c r="X1" s="1" t="s">
        <v>49</v>
      </c>
      <c r="Y1" s="1" t="s">
        <v>51</v>
      </c>
      <c r="Z1" s="1" t="s">
        <v>74</v>
      </c>
      <c r="AA1" s="1" t="s">
        <v>55</v>
      </c>
      <c r="AB1" s="1" t="s">
        <v>57</v>
      </c>
      <c r="AC1" s="1" t="s">
        <v>75</v>
      </c>
      <c r="AD1" s="1" t="s">
        <v>61</v>
      </c>
      <c r="AE1" s="1" t="s">
        <v>63</v>
      </c>
      <c r="AF1" s="1" t="s">
        <v>65</v>
      </c>
      <c r="AG1" s="1" t="s">
        <v>67</v>
      </c>
      <c r="AH1" s="1" t="s">
        <v>69</v>
      </c>
      <c r="AI1" s="1" t="s">
        <v>71</v>
      </c>
    </row>
    <row r="2">
      <c r="A2" s="2">
        <v>1.0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>
        <v>1.0</v>
      </c>
      <c r="H2" s="2" t="s">
        <v>81</v>
      </c>
      <c r="I2" s="3">
        <v>45639.0</v>
      </c>
      <c r="J2" s="2">
        <v>0.0</v>
      </c>
      <c r="K2" s="4">
        <v>45735.0</v>
      </c>
      <c r="AA2" s="5"/>
      <c r="AB2" s="2" t="s">
        <v>82</v>
      </c>
      <c r="AC2" s="6"/>
      <c r="AD2" s="7">
        <v>0.04534</v>
      </c>
      <c r="AE2" s="7">
        <v>0.04216</v>
      </c>
      <c r="AF2" s="7">
        <v>0.00252</v>
      </c>
      <c r="AG2" s="2">
        <f t="shared" ref="AG2:AG295" si="1">AE2+AF2</f>
        <v>0.04468</v>
      </c>
      <c r="AH2" s="8">
        <f t="shared" ref="AH2:AH3" si="2">AD2+AG2</f>
        <v>0.09002</v>
      </c>
    </row>
    <row r="3">
      <c r="A3" s="2">
        <v>1.0</v>
      </c>
      <c r="B3" s="2" t="s">
        <v>76</v>
      </c>
      <c r="C3" s="2" t="s">
        <v>83</v>
      </c>
      <c r="D3" s="2" t="s">
        <v>78</v>
      </c>
      <c r="E3" s="2" t="s">
        <v>84</v>
      </c>
      <c r="F3" s="2" t="s">
        <v>80</v>
      </c>
      <c r="G3" s="2">
        <v>2.0</v>
      </c>
      <c r="H3" s="2" t="s">
        <v>85</v>
      </c>
      <c r="I3" s="3">
        <v>45639.0</v>
      </c>
      <c r="J3" s="2">
        <v>1.0</v>
      </c>
      <c r="L3" s="9">
        <v>45852.0</v>
      </c>
      <c r="M3" s="10">
        <v>45860.0</v>
      </c>
      <c r="N3" s="11">
        <v>45896.0</v>
      </c>
      <c r="O3" s="7">
        <v>252.0</v>
      </c>
      <c r="P3" s="7">
        <v>149.0</v>
      </c>
      <c r="Q3" s="7">
        <v>224.0</v>
      </c>
      <c r="R3" s="7">
        <v>174.0</v>
      </c>
      <c r="S3" s="8"/>
      <c r="T3" s="8"/>
      <c r="U3" s="8"/>
      <c r="V3" s="8"/>
      <c r="W3" s="8"/>
      <c r="X3" s="8"/>
      <c r="Y3" s="8"/>
      <c r="Z3" s="12">
        <v>799.0</v>
      </c>
      <c r="AA3" s="5">
        <v>199.75</v>
      </c>
      <c r="AB3" s="7">
        <v>4.0</v>
      </c>
      <c r="AC3" s="13">
        <v>799.0</v>
      </c>
      <c r="AD3" s="7">
        <v>0.26546</v>
      </c>
      <c r="AE3" s="7">
        <v>0.07321</v>
      </c>
      <c r="AF3" s="7">
        <v>0.00429</v>
      </c>
      <c r="AG3" s="2">
        <f t="shared" si="1"/>
        <v>0.0775</v>
      </c>
      <c r="AH3" s="8">
        <f t="shared" si="2"/>
        <v>0.34296</v>
      </c>
    </row>
    <row r="4">
      <c r="A4" s="14">
        <v>1.0</v>
      </c>
      <c r="B4" s="14" t="s">
        <v>76</v>
      </c>
      <c r="C4" s="14" t="s">
        <v>83</v>
      </c>
      <c r="D4" s="14" t="s">
        <v>86</v>
      </c>
      <c r="E4" s="14" t="s">
        <v>87</v>
      </c>
      <c r="F4" s="14" t="s">
        <v>80</v>
      </c>
      <c r="G4" s="14">
        <v>3.0</v>
      </c>
      <c r="H4" s="14" t="s">
        <v>88</v>
      </c>
      <c r="I4" s="15">
        <v>45639.0</v>
      </c>
      <c r="J4" s="14">
        <v>0.0</v>
      </c>
      <c r="K4" s="16">
        <v>45735.0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8"/>
      <c r="AB4" s="14" t="s">
        <v>82</v>
      </c>
      <c r="AC4" s="19"/>
      <c r="AD4" s="20"/>
      <c r="AE4" s="20"/>
      <c r="AF4" s="20"/>
      <c r="AG4" s="2">
        <f t="shared" si="1"/>
        <v>0</v>
      </c>
      <c r="AH4" s="17"/>
      <c r="AI4" s="14" t="s">
        <v>89</v>
      </c>
    </row>
    <row r="5">
      <c r="A5" s="2">
        <v>1.0</v>
      </c>
      <c r="B5" s="2" t="s">
        <v>76</v>
      </c>
      <c r="C5" s="2" t="s">
        <v>83</v>
      </c>
      <c r="D5" s="2" t="s">
        <v>78</v>
      </c>
      <c r="E5" s="2" t="s">
        <v>90</v>
      </c>
      <c r="F5" s="2" t="s">
        <v>80</v>
      </c>
      <c r="G5" s="2">
        <v>4.0</v>
      </c>
      <c r="H5" s="2" t="s">
        <v>91</v>
      </c>
      <c r="I5" s="3">
        <v>45639.0</v>
      </c>
      <c r="J5" s="2">
        <v>1.0</v>
      </c>
      <c r="L5" s="21">
        <v>45487.0</v>
      </c>
      <c r="M5" s="3">
        <v>45860.0</v>
      </c>
      <c r="N5" s="2"/>
      <c r="O5" s="2">
        <v>73.0</v>
      </c>
      <c r="P5" s="2">
        <v>50.0</v>
      </c>
      <c r="Q5" s="2">
        <v>110.0</v>
      </c>
      <c r="V5" s="2"/>
      <c r="W5" s="2"/>
      <c r="X5" s="2"/>
      <c r="Y5" s="2">
        <v>38.0</v>
      </c>
      <c r="Z5" s="12">
        <v>271.0</v>
      </c>
      <c r="AA5" s="5">
        <v>90.33333333333333</v>
      </c>
      <c r="AB5" s="2">
        <v>3.0</v>
      </c>
      <c r="AC5" s="6">
        <v>271.0</v>
      </c>
      <c r="AD5" s="7">
        <v>0.43164</v>
      </c>
      <c r="AE5" s="7">
        <v>0.02546</v>
      </c>
      <c r="AF5" s="7">
        <v>0.04267</v>
      </c>
      <c r="AG5" s="2">
        <f t="shared" si="1"/>
        <v>0.06813</v>
      </c>
      <c r="AH5" s="8">
        <f t="shared" ref="AH5:AH6" si="3">AD5+AG5</f>
        <v>0.49977</v>
      </c>
    </row>
    <row r="6">
      <c r="A6" s="2">
        <v>1.0</v>
      </c>
      <c r="B6" s="2" t="s">
        <v>76</v>
      </c>
      <c r="C6" s="2" t="s">
        <v>77</v>
      </c>
      <c r="D6" s="2" t="s">
        <v>78</v>
      </c>
      <c r="E6" s="2" t="s">
        <v>92</v>
      </c>
      <c r="F6" s="2" t="s">
        <v>80</v>
      </c>
      <c r="G6" s="2">
        <v>5.0</v>
      </c>
      <c r="H6" s="2" t="s">
        <v>93</v>
      </c>
      <c r="I6" s="3">
        <v>45639.0</v>
      </c>
      <c r="J6" s="2">
        <v>1.0</v>
      </c>
      <c r="L6" s="21">
        <v>45852.0</v>
      </c>
      <c r="M6" s="3"/>
      <c r="N6" s="2"/>
      <c r="O6" s="2">
        <v>72.0</v>
      </c>
      <c r="Z6" s="12">
        <v>72.0</v>
      </c>
      <c r="AA6" s="5">
        <v>72.0</v>
      </c>
      <c r="AB6" s="2">
        <v>1.0</v>
      </c>
      <c r="AC6" s="6">
        <v>72.0</v>
      </c>
      <c r="AD6" s="7">
        <v>0.24949</v>
      </c>
      <c r="AE6" s="7">
        <v>0.00593</v>
      </c>
      <c r="AF6" s="7">
        <v>8.7E-4</v>
      </c>
      <c r="AG6" s="2">
        <f t="shared" si="1"/>
        <v>0.0068</v>
      </c>
      <c r="AH6" s="8">
        <f t="shared" si="3"/>
        <v>0.25629</v>
      </c>
    </row>
    <row r="7">
      <c r="A7" s="2">
        <v>1.0</v>
      </c>
      <c r="B7" s="2" t="s">
        <v>76</v>
      </c>
      <c r="C7" s="2" t="s">
        <v>83</v>
      </c>
      <c r="D7" s="2" t="s">
        <v>78</v>
      </c>
      <c r="E7" s="2" t="s">
        <v>87</v>
      </c>
      <c r="F7" s="2" t="s">
        <v>80</v>
      </c>
      <c r="G7" s="2">
        <v>6.0</v>
      </c>
      <c r="H7" s="2" t="s">
        <v>94</v>
      </c>
      <c r="I7" s="3">
        <v>45639.0</v>
      </c>
      <c r="J7" s="2">
        <v>0.0</v>
      </c>
      <c r="K7" s="4">
        <v>45735.0</v>
      </c>
      <c r="AA7" s="5"/>
      <c r="AB7" s="2" t="s">
        <v>82</v>
      </c>
      <c r="AC7" s="6"/>
      <c r="AD7" s="7">
        <v>0.02459</v>
      </c>
      <c r="AE7" s="22"/>
      <c r="AF7" s="22"/>
      <c r="AG7" s="2">
        <f t="shared" si="1"/>
        <v>0</v>
      </c>
    </row>
    <row r="8">
      <c r="A8" s="2">
        <v>1.0</v>
      </c>
      <c r="B8" s="2" t="s">
        <v>76</v>
      </c>
      <c r="C8" s="2" t="s">
        <v>83</v>
      </c>
      <c r="D8" s="2" t="s">
        <v>78</v>
      </c>
      <c r="E8" s="2" t="s">
        <v>90</v>
      </c>
      <c r="F8" s="2" t="s">
        <v>80</v>
      </c>
      <c r="G8" s="2">
        <v>7.0</v>
      </c>
      <c r="H8" s="2" t="s">
        <v>95</v>
      </c>
      <c r="I8" s="3">
        <v>45639.0</v>
      </c>
      <c r="J8" s="2">
        <v>1.0</v>
      </c>
      <c r="L8" s="21">
        <v>45852.0</v>
      </c>
      <c r="M8" s="23"/>
      <c r="N8" s="2"/>
      <c r="O8" s="2">
        <v>70.0</v>
      </c>
      <c r="P8" s="2">
        <v>128.0</v>
      </c>
      <c r="V8" s="2"/>
      <c r="W8" s="2"/>
      <c r="X8" s="2"/>
      <c r="Y8" s="2">
        <v>48.0</v>
      </c>
      <c r="Z8" s="12">
        <v>246.0</v>
      </c>
      <c r="AA8" s="5">
        <v>123.0</v>
      </c>
      <c r="AB8" s="2">
        <v>2.0</v>
      </c>
      <c r="AC8" s="6">
        <v>246.0</v>
      </c>
      <c r="AD8" s="7">
        <v>0.46323</v>
      </c>
      <c r="AE8" s="7">
        <v>0.2572</v>
      </c>
      <c r="AF8" s="7">
        <v>7.0E-5</v>
      </c>
      <c r="AG8" s="2">
        <f t="shared" si="1"/>
        <v>0.25727</v>
      </c>
      <c r="AH8" s="8">
        <f>AD8+AG8</f>
        <v>0.7205</v>
      </c>
    </row>
    <row r="9">
      <c r="A9" s="14">
        <v>1.0</v>
      </c>
      <c r="B9" s="14" t="s">
        <v>76</v>
      </c>
      <c r="C9" s="14" t="s">
        <v>83</v>
      </c>
      <c r="D9" s="14" t="s">
        <v>86</v>
      </c>
      <c r="E9" s="14" t="s">
        <v>79</v>
      </c>
      <c r="F9" s="14" t="s">
        <v>80</v>
      </c>
      <c r="G9" s="14">
        <v>8.0</v>
      </c>
      <c r="H9" s="14" t="s">
        <v>96</v>
      </c>
      <c r="I9" s="15">
        <v>45639.0</v>
      </c>
      <c r="J9" s="14">
        <v>0.0</v>
      </c>
      <c r="K9" s="16">
        <v>45735.0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  <c r="AB9" s="14" t="s">
        <v>82</v>
      </c>
      <c r="AC9" s="19"/>
      <c r="AD9" s="24">
        <v>0.01118</v>
      </c>
      <c r="AE9" s="20"/>
      <c r="AF9" s="20"/>
      <c r="AG9" s="2">
        <f t="shared" si="1"/>
        <v>0</v>
      </c>
      <c r="AH9" s="17"/>
      <c r="AI9" s="14" t="s">
        <v>89</v>
      </c>
    </row>
    <row r="10">
      <c r="A10" s="14">
        <v>1.0</v>
      </c>
      <c r="B10" s="14" t="s">
        <v>76</v>
      </c>
      <c r="C10" s="14" t="s">
        <v>77</v>
      </c>
      <c r="D10" s="14" t="s">
        <v>86</v>
      </c>
      <c r="E10" s="14" t="s">
        <v>87</v>
      </c>
      <c r="F10" s="14" t="s">
        <v>80</v>
      </c>
      <c r="G10" s="14">
        <v>9.0</v>
      </c>
      <c r="H10" s="14" t="s">
        <v>97</v>
      </c>
      <c r="I10" s="15">
        <v>45639.0</v>
      </c>
      <c r="J10" s="14">
        <v>1.0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  <c r="AB10" s="14" t="s">
        <v>82</v>
      </c>
      <c r="AC10" s="19"/>
      <c r="AD10" s="24">
        <v>0.00554</v>
      </c>
      <c r="AE10" s="20"/>
      <c r="AF10" s="20"/>
      <c r="AG10" s="2">
        <f t="shared" si="1"/>
        <v>0</v>
      </c>
      <c r="AH10" s="17"/>
      <c r="AI10" s="14" t="s">
        <v>89</v>
      </c>
    </row>
    <row r="11">
      <c r="A11" s="2">
        <v>1.0</v>
      </c>
      <c r="B11" s="2" t="s">
        <v>76</v>
      </c>
      <c r="C11" s="2" t="s">
        <v>77</v>
      </c>
      <c r="D11" s="2" t="s">
        <v>86</v>
      </c>
      <c r="E11" s="2" t="s">
        <v>92</v>
      </c>
      <c r="F11" s="2" t="s">
        <v>80</v>
      </c>
      <c r="G11" s="2">
        <v>10.0</v>
      </c>
      <c r="H11" s="2" t="s">
        <v>98</v>
      </c>
      <c r="I11" s="3">
        <v>45639.0</v>
      </c>
      <c r="J11" s="2">
        <v>1.0</v>
      </c>
      <c r="AA11" s="5"/>
      <c r="AB11" s="2" t="s">
        <v>82</v>
      </c>
      <c r="AC11" s="6"/>
      <c r="AD11" s="7">
        <v>0.02536</v>
      </c>
      <c r="AE11" s="22"/>
      <c r="AF11" s="22"/>
      <c r="AG11" s="2">
        <f t="shared" si="1"/>
        <v>0</v>
      </c>
    </row>
    <row r="12">
      <c r="A12" s="14">
        <v>1.0</v>
      </c>
      <c r="B12" s="14" t="s">
        <v>76</v>
      </c>
      <c r="C12" s="14" t="s">
        <v>83</v>
      </c>
      <c r="D12" s="14" t="s">
        <v>86</v>
      </c>
      <c r="E12" s="14" t="s">
        <v>99</v>
      </c>
      <c r="F12" s="14" t="s">
        <v>80</v>
      </c>
      <c r="G12" s="14">
        <v>11.0</v>
      </c>
      <c r="H12" s="14" t="s">
        <v>100</v>
      </c>
      <c r="I12" s="15">
        <v>45639.0</v>
      </c>
      <c r="J12" s="14">
        <v>0.0</v>
      </c>
      <c r="K12" s="16">
        <v>45735.0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  <c r="AB12" s="14" t="s">
        <v>82</v>
      </c>
      <c r="AC12" s="19"/>
      <c r="AD12" s="20"/>
      <c r="AE12" s="20"/>
      <c r="AF12" s="20"/>
      <c r="AG12" s="2">
        <f t="shared" si="1"/>
        <v>0</v>
      </c>
      <c r="AH12" s="17"/>
      <c r="AI12" s="14" t="s">
        <v>89</v>
      </c>
    </row>
    <row r="13">
      <c r="A13" s="14">
        <v>1.0</v>
      </c>
      <c r="B13" s="14" t="s">
        <v>76</v>
      </c>
      <c r="C13" s="14" t="s">
        <v>83</v>
      </c>
      <c r="D13" s="14" t="s">
        <v>78</v>
      </c>
      <c r="E13" s="14" t="s">
        <v>87</v>
      </c>
      <c r="F13" s="14" t="s">
        <v>80</v>
      </c>
      <c r="G13" s="14">
        <v>12.0</v>
      </c>
      <c r="H13" s="14" t="s">
        <v>101</v>
      </c>
      <c r="I13" s="15">
        <v>45639.0</v>
      </c>
      <c r="J13" s="14">
        <v>0.0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  <c r="AB13" s="14" t="s">
        <v>82</v>
      </c>
      <c r="AC13" s="19"/>
      <c r="AD13" s="20"/>
      <c r="AE13" s="20"/>
      <c r="AF13" s="20"/>
      <c r="AG13" s="2">
        <f t="shared" si="1"/>
        <v>0</v>
      </c>
      <c r="AH13" s="17"/>
      <c r="AI13" s="14" t="s">
        <v>89</v>
      </c>
    </row>
    <row r="14">
      <c r="A14" s="2">
        <v>1.0</v>
      </c>
      <c r="B14" s="2" t="s">
        <v>76</v>
      </c>
      <c r="C14" s="2" t="s">
        <v>83</v>
      </c>
      <c r="D14" s="2" t="s">
        <v>86</v>
      </c>
      <c r="E14" s="2" t="s">
        <v>92</v>
      </c>
      <c r="F14" s="2" t="s">
        <v>80</v>
      </c>
      <c r="G14" s="2">
        <v>13.0</v>
      </c>
      <c r="H14" s="2" t="s">
        <v>102</v>
      </c>
      <c r="I14" s="3">
        <v>45639.0</v>
      </c>
      <c r="J14" s="2">
        <v>1.0</v>
      </c>
      <c r="L14" s="21">
        <v>45845.0</v>
      </c>
      <c r="M14" s="3">
        <v>45853.0</v>
      </c>
      <c r="N14" s="3">
        <v>45860.0</v>
      </c>
      <c r="O14" s="2">
        <v>95.0</v>
      </c>
      <c r="P14" s="2">
        <v>83.0</v>
      </c>
      <c r="Q14" s="2">
        <v>103.0</v>
      </c>
      <c r="R14" s="2">
        <v>105.0</v>
      </c>
      <c r="S14" s="2">
        <v>69.0</v>
      </c>
      <c r="T14" s="2">
        <v>62.0</v>
      </c>
      <c r="U14" s="2">
        <v>121.0</v>
      </c>
      <c r="V14" s="2">
        <v>77.0</v>
      </c>
      <c r="W14" s="2">
        <v>68.0</v>
      </c>
      <c r="X14" s="2">
        <v>44.0</v>
      </c>
      <c r="Y14" s="2">
        <v>8.0</v>
      </c>
      <c r="Z14" s="12">
        <v>835.0</v>
      </c>
      <c r="AA14" s="5">
        <v>83.5</v>
      </c>
      <c r="AB14" s="2">
        <v>11.0</v>
      </c>
      <c r="AC14" s="6">
        <v>918.5</v>
      </c>
      <c r="AD14" s="7">
        <v>0.31651</v>
      </c>
      <c r="AE14" s="7">
        <v>0.10601</v>
      </c>
      <c r="AF14" s="22"/>
      <c r="AG14" s="2">
        <f t="shared" si="1"/>
        <v>0.10601</v>
      </c>
      <c r="AH14" s="8">
        <f t="shared" ref="AH14:AH17" si="4">AD14+AG14</f>
        <v>0.42252</v>
      </c>
    </row>
    <row r="15">
      <c r="A15" s="2">
        <v>1.0</v>
      </c>
      <c r="B15" s="2" t="s">
        <v>76</v>
      </c>
      <c r="C15" s="2" t="s">
        <v>83</v>
      </c>
      <c r="D15" s="2" t="s">
        <v>86</v>
      </c>
      <c r="E15" s="2" t="s">
        <v>87</v>
      </c>
      <c r="F15" s="2" t="s">
        <v>80</v>
      </c>
      <c r="G15" s="2">
        <v>14.0</v>
      </c>
      <c r="H15" s="2" t="s">
        <v>103</v>
      </c>
      <c r="I15" s="3">
        <v>45639.0</v>
      </c>
      <c r="J15" s="2">
        <v>0.0</v>
      </c>
      <c r="K15" s="4">
        <v>45735.0</v>
      </c>
      <c r="L15" s="21">
        <v>45487.0</v>
      </c>
      <c r="M15" s="3"/>
      <c r="N15" s="2"/>
      <c r="O15" s="2">
        <v>91.0</v>
      </c>
      <c r="P15" s="2">
        <v>221.0</v>
      </c>
      <c r="Q15" s="2">
        <v>79.0</v>
      </c>
      <c r="R15" s="2">
        <v>113.0</v>
      </c>
      <c r="V15" s="2"/>
      <c r="W15" s="2"/>
      <c r="X15" s="2"/>
      <c r="Y15" s="2">
        <v>5.0</v>
      </c>
      <c r="Z15" s="12">
        <v>509.0</v>
      </c>
      <c r="AA15" s="25">
        <v>127.25</v>
      </c>
      <c r="AB15" s="2">
        <v>5.0</v>
      </c>
      <c r="AC15" s="6">
        <v>636.25</v>
      </c>
      <c r="AD15" s="7">
        <v>0.18698</v>
      </c>
      <c r="AE15" s="7">
        <v>0.05245</v>
      </c>
      <c r="AF15" s="22"/>
      <c r="AG15" s="2">
        <f t="shared" si="1"/>
        <v>0.05245</v>
      </c>
      <c r="AH15" s="8">
        <f t="shared" si="4"/>
        <v>0.23943</v>
      </c>
    </row>
    <row r="16">
      <c r="A16" s="2">
        <v>1.0</v>
      </c>
      <c r="B16" s="2" t="s">
        <v>76</v>
      </c>
      <c r="C16" s="2" t="s">
        <v>77</v>
      </c>
      <c r="D16" s="2" t="s">
        <v>86</v>
      </c>
      <c r="E16" s="2" t="s">
        <v>99</v>
      </c>
      <c r="F16" s="2" t="s">
        <v>104</v>
      </c>
      <c r="G16" s="2">
        <v>1.0</v>
      </c>
      <c r="H16" s="2" t="s">
        <v>105</v>
      </c>
      <c r="I16" s="3">
        <v>45639.0</v>
      </c>
      <c r="J16" s="2">
        <v>1.0</v>
      </c>
      <c r="L16" s="21">
        <v>45852.0</v>
      </c>
      <c r="M16" s="3"/>
      <c r="N16" s="2"/>
      <c r="O16" s="2">
        <v>44.0</v>
      </c>
      <c r="P16" s="2">
        <v>119.0</v>
      </c>
      <c r="Q16" s="2">
        <v>32.0</v>
      </c>
      <c r="V16" s="2"/>
      <c r="W16" s="2"/>
      <c r="X16" s="2"/>
      <c r="Y16" s="2">
        <v>15.0</v>
      </c>
      <c r="Z16" s="12">
        <v>210.0</v>
      </c>
      <c r="AA16" s="25">
        <v>70.0</v>
      </c>
      <c r="AB16" s="2">
        <v>3.0</v>
      </c>
      <c r="AC16" s="6">
        <v>210.0</v>
      </c>
      <c r="AD16" s="2">
        <v>0.44255</v>
      </c>
      <c r="AE16" s="2">
        <v>0.02241</v>
      </c>
      <c r="AG16" s="2">
        <f t="shared" si="1"/>
        <v>0.02241</v>
      </c>
      <c r="AH16" s="8">
        <f t="shared" si="4"/>
        <v>0.46496</v>
      </c>
    </row>
    <row r="17">
      <c r="A17" s="2">
        <v>1.0</v>
      </c>
      <c r="B17" s="2" t="s">
        <v>76</v>
      </c>
      <c r="C17" s="2" t="s">
        <v>83</v>
      </c>
      <c r="D17" s="2" t="s">
        <v>86</v>
      </c>
      <c r="E17" s="2" t="s">
        <v>106</v>
      </c>
      <c r="F17" s="2" t="s">
        <v>104</v>
      </c>
      <c r="G17" s="2">
        <v>2.0</v>
      </c>
      <c r="H17" s="2" t="s">
        <v>107</v>
      </c>
      <c r="I17" s="3">
        <v>45639.0</v>
      </c>
      <c r="J17" s="2">
        <v>1.0</v>
      </c>
      <c r="L17" s="21">
        <v>45852.0</v>
      </c>
      <c r="M17" s="26"/>
      <c r="N17" s="2"/>
      <c r="O17" s="2">
        <v>113.0</v>
      </c>
      <c r="Z17" s="12">
        <v>113.0</v>
      </c>
      <c r="AA17" s="25">
        <v>113.0</v>
      </c>
      <c r="AB17" s="2">
        <v>1.0</v>
      </c>
      <c r="AC17" s="6">
        <v>113.0</v>
      </c>
      <c r="AD17" s="2">
        <v>0.10474</v>
      </c>
      <c r="AE17" s="2">
        <v>0.00179</v>
      </c>
      <c r="AG17" s="2">
        <f t="shared" si="1"/>
        <v>0.00179</v>
      </c>
      <c r="AH17" s="8">
        <f t="shared" si="4"/>
        <v>0.10653</v>
      </c>
    </row>
    <row r="18">
      <c r="A18" s="14">
        <v>1.0</v>
      </c>
      <c r="B18" s="14" t="s">
        <v>76</v>
      </c>
      <c r="C18" s="14" t="s">
        <v>77</v>
      </c>
      <c r="D18" s="14" t="s">
        <v>78</v>
      </c>
      <c r="E18" s="14" t="s">
        <v>106</v>
      </c>
      <c r="F18" s="14" t="s">
        <v>104</v>
      </c>
      <c r="G18" s="14">
        <v>3.0</v>
      </c>
      <c r="H18" s="14" t="s">
        <v>108</v>
      </c>
      <c r="I18" s="15">
        <v>45639.0</v>
      </c>
      <c r="J18" s="14">
        <v>0.0</v>
      </c>
      <c r="K18" s="16">
        <v>45735.0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27"/>
      <c r="AB18" s="14" t="s">
        <v>82</v>
      </c>
      <c r="AC18" s="19"/>
      <c r="AD18" s="14">
        <v>0.02157</v>
      </c>
      <c r="AE18" s="17"/>
      <c r="AF18" s="17"/>
      <c r="AG18" s="2">
        <f t="shared" si="1"/>
        <v>0</v>
      </c>
      <c r="AH18" s="17"/>
      <c r="AI18" s="14" t="s">
        <v>89</v>
      </c>
    </row>
    <row r="19">
      <c r="A19" s="14">
        <v>1.0</v>
      </c>
      <c r="B19" s="14" t="s">
        <v>76</v>
      </c>
      <c r="C19" s="14" t="s">
        <v>77</v>
      </c>
      <c r="D19" s="14" t="s">
        <v>86</v>
      </c>
      <c r="E19" s="14" t="s">
        <v>79</v>
      </c>
      <c r="F19" s="14" t="s">
        <v>104</v>
      </c>
      <c r="G19" s="14">
        <v>4.0</v>
      </c>
      <c r="H19" s="14" t="s">
        <v>109</v>
      </c>
      <c r="I19" s="15">
        <v>45639.0</v>
      </c>
      <c r="J19" s="14">
        <v>0.0</v>
      </c>
      <c r="K19" s="16">
        <v>45735.0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27"/>
      <c r="AB19" s="14" t="s">
        <v>82</v>
      </c>
      <c r="AC19" s="19"/>
      <c r="AD19" s="14">
        <v>0.01459</v>
      </c>
      <c r="AE19" s="17"/>
      <c r="AF19" s="17"/>
      <c r="AG19" s="2">
        <f t="shared" si="1"/>
        <v>0</v>
      </c>
      <c r="AH19" s="17"/>
      <c r="AI19" s="14" t="s">
        <v>89</v>
      </c>
    </row>
    <row r="20">
      <c r="A20" s="14">
        <v>1.0</v>
      </c>
      <c r="B20" s="14" t="s">
        <v>76</v>
      </c>
      <c r="C20" s="14" t="s">
        <v>77</v>
      </c>
      <c r="D20" s="14" t="s">
        <v>78</v>
      </c>
      <c r="E20" s="14" t="s">
        <v>90</v>
      </c>
      <c r="F20" s="14" t="s">
        <v>104</v>
      </c>
      <c r="G20" s="14">
        <v>5.0</v>
      </c>
      <c r="H20" s="14" t="s">
        <v>110</v>
      </c>
      <c r="I20" s="15">
        <v>45639.0</v>
      </c>
      <c r="J20" s="14">
        <v>0.0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27"/>
      <c r="AB20" s="14" t="s">
        <v>82</v>
      </c>
      <c r="AC20" s="19"/>
      <c r="AD20" s="17"/>
      <c r="AE20" s="17"/>
      <c r="AF20" s="17"/>
      <c r="AG20" s="2">
        <f t="shared" si="1"/>
        <v>0</v>
      </c>
      <c r="AH20" s="17"/>
      <c r="AI20" s="14" t="s">
        <v>89</v>
      </c>
    </row>
    <row r="21">
      <c r="A21" s="2">
        <v>1.0</v>
      </c>
      <c r="B21" s="2" t="s">
        <v>76</v>
      </c>
      <c r="C21" s="2" t="s">
        <v>77</v>
      </c>
      <c r="D21" s="2" t="s">
        <v>86</v>
      </c>
      <c r="E21" s="2" t="s">
        <v>79</v>
      </c>
      <c r="F21" s="2" t="s">
        <v>104</v>
      </c>
      <c r="G21" s="2">
        <v>6.0</v>
      </c>
      <c r="H21" s="2" t="s">
        <v>111</v>
      </c>
      <c r="I21" s="4">
        <v>45735.0</v>
      </c>
      <c r="K21" s="4"/>
      <c r="L21" s="21">
        <v>45852.0</v>
      </c>
      <c r="M21" s="3">
        <v>45902.0</v>
      </c>
      <c r="N21" s="2"/>
      <c r="O21" s="2">
        <v>58.0</v>
      </c>
      <c r="P21" s="2">
        <v>82.0</v>
      </c>
      <c r="Q21" s="2">
        <v>58.0</v>
      </c>
      <c r="Z21" s="12">
        <v>198.0</v>
      </c>
      <c r="AA21" s="25">
        <v>99.0</v>
      </c>
      <c r="AB21" s="2">
        <v>3.0</v>
      </c>
      <c r="AC21" s="6">
        <v>297.0</v>
      </c>
      <c r="AD21" s="2">
        <v>0.21553</v>
      </c>
      <c r="AE21" s="2">
        <v>0.01648</v>
      </c>
      <c r="AF21" s="2">
        <v>0.00342</v>
      </c>
      <c r="AG21" s="2">
        <f t="shared" si="1"/>
        <v>0.0199</v>
      </c>
      <c r="AH21" s="8">
        <f t="shared" ref="AH21:AH22" si="5">AD21+AG21</f>
        <v>0.23543</v>
      </c>
    </row>
    <row r="22">
      <c r="A22" s="2">
        <v>1.0</v>
      </c>
      <c r="B22" s="2" t="s">
        <v>76</v>
      </c>
      <c r="C22" s="2" t="s">
        <v>77</v>
      </c>
      <c r="D22" s="2" t="s">
        <v>86</v>
      </c>
      <c r="E22" s="2" t="s">
        <v>99</v>
      </c>
      <c r="F22" s="2" t="s">
        <v>104</v>
      </c>
      <c r="G22" s="2">
        <v>7.0</v>
      </c>
      <c r="H22" s="2" t="s">
        <v>112</v>
      </c>
      <c r="I22" s="3">
        <v>45639.0</v>
      </c>
      <c r="J22" s="2">
        <v>1.0</v>
      </c>
      <c r="L22" s="21">
        <v>45852.0</v>
      </c>
      <c r="M22" s="3"/>
      <c r="N22" s="2"/>
      <c r="O22" s="2">
        <v>65.0</v>
      </c>
      <c r="P22" s="2">
        <v>58.0</v>
      </c>
      <c r="Q22" s="2">
        <v>76.0</v>
      </c>
      <c r="R22" s="2">
        <v>56.0</v>
      </c>
      <c r="S22" s="2">
        <v>65.0</v>
      </c>
      <c r="V22" s="2"/>
      <c r="W22" s="2"/>
      <c r="X22" s="2"/>
      <c r="Y22" s="2">
        <v>48.0</v>
      </c>
      <c r="Z22" s="12">
        <v>368.0</v>
      </c>
      <c r="AA22" s="25">
        <v>73.6</v>
      </c>
      <c r="AB22" s="2">
        <v>5.0</v>
      </c>
      <c r="AC22" s="6">
        <v>368.0</v>
      </c>
      <c r="AD22" s="2">
        <v>0.42676</v>
      </c>
      <c r="AE22" s="2">
        <v>0.03818</v>
      </c>
      <c r="AG22" s="2">
        <f t="shared" si="1"/>
        <v>0.03818</v>
      </c>
      <c r="AH22" s="8">
        <f t="shared" si="5"/>
        <v>0.46494</v>
      </c>
    </row>
    <row r="23">
      <c r="A23" s="14">
        <v>1.0</v>
      </c>
      <c r="B23" s="14" t="s">
        <v>76</v>
      </c>
      <c r="C23" s="14" t="s">
        <v>83</v>
      </c>
      <c r="D23" s="14" t="s">
        <v>86</v>
      </c>
      <c r="E23" s="14" t="s">
        <v>90</v>
      </c>
      <c r="F23" s="14" t="s">
        <v>104</v>
      </c>
      <c r="G23" s="14">
        <v>8.0</v>
      </c>
      <c r="H23" s="14" t="s">
        <v>113</v>
      </c>
      <c r="I23" s="15">
        <v>45639.0</v>
      </c>
      <c r="J23" s="14">
        <v>1.0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27"/>
      <c r="AB23" s="14" t="s">
        <v>82</v>
      </c>
      <c r="AC23" s="19"/>
      <c r="AD23" s="17"/>
      <c r="AE23" s="17"/>
      <c r="AF23" s="17"/>
      <c r="AG23" s="2">
        <f t="shared" si="1"/>
        <v>0</v>
      </c>
      <c r="AH23" s="17"/>
      <c r="AI23" s="14" t="s">
        <v>89</v>
      </c>
    </row>
    <row r="24">
      <c r="A24" s="2">
        <v>1.0</v>
      </c>
      <c r="B24" s="2" t="s">
        <v>76</v>
      </c>
      <c r="C24" s="2" t="s">
        <v>77</v>
      </c>
      <c r="D24" s="2" t="s">
        <v>86</v>
      </c>
      <c r="E24" s="2" t="s">
        <v>92</v>
      </c>
      <c r="F24" s="2" t="s">
        <v>104</v>
      </c>
      <c r="G24" s="2">
        <v>9.0</v>
      </c>
      <c r="H24" s="2" t="s">
        <v>114</v>
      </c>
      <c r="I24" s="3">
        <v>45639.0</v>
      </c>
      <c r="J24" s="2">
        <v>1.0</v>
      </c>
      <c r="L24" s="21">
        <v>45852.0</v>
      </c>
      <c r="M24" s="3"/>
      <c r="N24" s="2"/>
      <c r="O24" s="2">
        <v>97.0</v>
      </c>
      <c r="P24" s="2">
        <v>50.0</v>
      </c>
      <c r="V24" s="2"/>
      <c r="W24" s="2"/>
      <c r="X24" s="2"/>
      <c r="Y24" s="2">
        <v>32.0</v>
      </c>
      <c r="Z24" s="12">
        <v>179.0</v>
      </c>
      <c r="AA24" s="25">
        <v>89.5</v>
      </c>
      <c r="AB24" s="2">
        <v>2.0</v>
      </c>
      <c r="AC24" s="6">
        <v>179.0</v>
      </c>
      <c r="AD24" s="2">
        <v>0.40022</v>
      </c>
      <c r="AE24" s="2">
        <v>0.01641</v>
      </c>
      <c r="AG24" s="2">
        <f t="shared" si="1"/>
        <v>0.01641</v>
      </c>
      <c r="AH24" s="8">
        <f>AD24+AG24</f>
        <v>0.41663</v>
      </c>
    </row>
    <row r="25">
      <c r="A25" s="14">
        <v>1.0</v>
      </c>
      <c r="B25" s="14" t="s">
        <v>76</v>
      </c>
      <c r="C25" s="14" t="s">
        <v>83</v>
      </c>
      <c r="D25" s="14" t="s">
        <v>78</v>
      </c>
      <c r="E25" s="14" t="s">
        <v>79</v>
      </c>
      <c r="F25" s="14" t="s">
        <v>104</v>
      </c>
      <c r="G25" s="14">
        <v>10.0</v>
      </c>
      <c r="H25" s="14" t="s">
        <v>115</v>
      </c>
      <c r="I25" s="15">
        <v>45639.0</v>
      </c>
      <c r="J25" s="14">
        <v>1.0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27"/>
      <c r="AB25" s="14" t="s">
        <v>82</v>
      </c>
      <c r="AC25" s="19"/>
      <c r="AD25" s="14">
        <v>0.00889</v>
      </c>
      <c r="AE25" s="17"/>
      <c r="AF25" s="17"/>
      <c r="AG25" s="2">
        <f t="shared" si="1"/>
        <v>0</v>
      </c>
      <c r="AH25" s="17"/>
      <c r="AI25" s="14" t="s">
        <v>89</v>
      </c>
    </row>
    <row r="26">
      <c r="A26" s="14">
        <v>1.0</v>
      </c>
      <c r="B26" s="14" t="s">
        <v>76</v>
      </c>
      <c r="C26" s="14" t="s">
        <v>83</v>
      </c>
      <c r="D26" s="14" t="s">
        <v>78</v>
      </c>
      <c r="E26" s="14" t="s">
        <v>99</v>
      </c>
      <c r="F26" s="14" t="s">
        <v>104</v>
      </c>
      <c r="G26" s="14">
        <v>11.0</v>
      </c>
      <c r="H26" s="14" t="s">
        <v>116</v>
      </c>
      <c r="I26" s="15">
        <v>45639.0</v>
      </c>
      <c r="J26" s="14">
        <v>1.0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27"/>
      <c r="AB26" s="14" t="s">
        <v>82</v>
      </c>
      <c r="AC26" s="19"/>
      <c r="AD26" s="14"/>
      <c r="AE26" s="17"/>
      <c r="AF26" s="17"/>
      <c r="AG26" s="2">
        <f t="shared" si="1"/>
        <v>0</v>
      </c>
      <c r="AH26" s="17"/>
      <c r="AI26" s="14" t="s">
        <v>89</v>
      </c>
    </row>
    <row r="27">
      <c r="A27" s="2">
        <v>1.0</v>
      </c>
      <c r="B27" s="2" t="s">
        <v>76</v>
      </c>
      <c r="C27" s="2" t="s">
        <v>83</v>
      </c>
      <c r="D27" s="2" t="s">
        <v>78</v>
      </c>
      <c r="E27" s="2" t="s">
        <v>84</v>
      </c>
      <c r="F27" s="2" t="s">
        <v>104</v>
      </c>
      <c r="G27" s="2">
        <v>12.0</v>
      </c>
      <c r="H27" s="2" t="s">
        <v>117</v>
      </c>
      <c r="I27" s="3">
        <v>45639.0</v>
      </c>
      <c r="J27" s="2">
        <v>1.0</v>
      </c>
      <c r="L27" s="21">
        <v>45845.0</v>
      </c>
      <c r="M27" s="3">
        <v>45860.0</v>
      </c>
      <c r="N27" s="2"/>
      <c r="O27" s="2">
        <v>119.0</v>
      </c>
      <c r="P27" s="2">
        <v>152.0</v>
      </c>
      <c r="Q27" s="2">
        <v>91.0</v>
      </c>
      <c r="R27" s="2">
        <v>157.0</v>
      </c>
      <c r="S27" s="2">
        <v>241.0</v>
      </c>
      <c r="T27" s="2">
        <v>218.0</v>
      </c>
      <c r="U27" s="2">
        <v>101.0</v>
      </c>
      <c r="V27" s="2">
        <v>71.0</v>
      </c>
      <c r="W27" s="2">
        <v>124.0</v>
      </c>
      <c r="X27" s="2"/>
      <c r="Y27" s="2">
        <v>54.0</v>
      </c>
      <c r="Z27" s="12">
        <v>1328.0</v>
      </c>
      <c r="AA27" s="5">
        <v>147.55555555555554</v>
      </c>
      <c r="AB27" s="2">
        <v>9.0</v>
      </c>
      <c r="AC27" s="6">
        <v>1032.8888888888887</v>
      </c>
      <c r="AD27" s="2">
        <v>0.17681</v>
      </c>
      <c r="AE27" s="2">
        <v>0.14905</v>
      </c>
      <c r="AF27" s="2">
        <v>0.02392</v>
      </c>
      <c r="AG27" s="2">
        <f t="shared" si="1"/>
        <v>0.17297</v>
      </c>
      <c r="AH27" s="8">
        <f>AD27+AG27</f>
        <v>0.34978</v>
      </c>
    </row>
    <row r="28">
      <c r="A28" s="2">
        <v>1.0</v>
      </c>
      <c r="B28" s="2" t="s">
        <v>76</v>
      </c>
      <c r="C28" s="2" t="s">
        <v>77</v>
      </c>
      <c r="D28" s="2" t="s">
        <v>86</v>
      </c>
      <c r="E28" s="2" t="s">
        <v>106</v>
      </c>
      <c r="F28" s="2" t="s">
        <v>104</v>
      </c>
      <c r="G28" s="2">
        <v>13.0</v>
      </c>
      <c r="H28" s="2" t="s">
        <v>118</v>
      </c>
      <c r="I28" s="3">
        <v>45639.0</v>
      </c>
      <c r="J28" s="2">
        <v>0.0</v>
      </c>
      <c r="K28" s="4">
        <v>45735.0</v>
      </c>
      <c r="AA28" s="25"/>
      <c r="AB28" s="2" t="s">
        <v>82</v>
      </c>
      <c r="AC28" s="6"/>
      <c r="AG28" s="2">
        <f t="shared" si="1"/>
        <v>0</v>
      </c>
    </row>
    <row r="29">
      <c r="A29" s="14">
        <v>1.0</v>
      </c>
      <c r="B29" s="14" t="s">
        <v>76</v>
      </c>
      <c r="C29" s="14" t="s">
        <v>77</v>
      </c>
      <c r="D29" s="14" t="s">
        <v>78</v>
      </c>
      <c r="E29" s="14" t="s">
        <v>99</v>
      </c>
      <c r="F29" s="14" t="s">
        <v>104</v>
      </c>
      <c r="G29" s="14">
        <v>14.0</v>
      </c>
      <c r="H29" s="14" t="s">
        <v>119</v>
      </c>
      <c r="I29" s="15">
        <v>45639.0</v>
      </c>
      <c r="J29" s="14">
        <v>0.0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27"/>
      <c r="AB29" s="14" t="s">
        <v>82</v>
      </c>
      <c r="AC29" s="19"/>
      <c r="AD29" s="17"/>
      <c r="AE29" s="17"/>
      <c r="AF29" s="17"/>
      <c r="AG29" s="2">
        <f t="shared" si="1"/>
        <v>0</v>
      </c>
      <c r="AH29" s="17"/>
      <c r="AI29" s="14" t="s">
        <v>89</v>
      </c>
    </row>
    <row r="30">
      <c r="A30" s="2">
        <v>1.0</v>
      </c>
      <c r="B30" s="2" t="s">
        <v>76</v>
      </c>
      <c r="C30" s="2" t="s">
        <v>83</v>
      </c>
      <c r="D30" s="2" t="s">
        <v>86</v>
      </c>
      <c r="E30" s="2" t="s">
        <v>84</v>
      </c>
      <c r="F30" s="2" t="s">
        <v>120</v>
      </c>
      <c r="G30" s="2">
        <v>1.0</v>
      </c>
      <c r="H30" s="2" t="s">
        <v>121</v>
      </c>
      <c r="I30" s="3">
        <v>45639.0</v>
      </c>
      <c r="J30" s="2">
        <v>1.0</v>
      </c>
      <c r="K30" s="4">
        <v>45735.0</v>
      </c>
      <c r="L30" s="21">
        <v>45853.0</v>
      </c>
      <c r="M30" s="3">
        <v>45860.0</v>
      </c>
      <c r="N30" s="2"/>
      <c r="O30" s="2">
        <v>114.0</v>
      </c>
      <c r="P30" s="2">
        <v>38.0</v>
      </c>
      <c r="Q30" s="2">
        <v>43.0</v>
      </c>
      <c r="R30" s="2">
        <v>71.0</v>
      </c>
      <c r="S30" s="2">
        <v>76.0</v>
      </c>
      <c r="T30" s="2">
        <v>142.0</v>
      </c>
      <c r="U30" s="2">
        <v>108.0</v>
      </c>
      <c r="Z30" s="12">
        <v>592.0</v>
      </c>
      <c r="AA30" s="25">
        <v>84.57142857142857</v>
      </c>
      <c r="AB30" s="2">
        <v>9.0</v>
      </c>
      <c r="AC30" s="6">
        <v>761.1428571428571</v>
      </c>
      <c r="AD30" s="2">
        <v>0.17826</v>
      </c>
      <c r="AE30" s="2">
        <v>0.02034</v>
      </c>
      <c r="AG30" s="2">
        <f t="shared" si="1"/>
        <v>0.02034</v>
      </c>
      <c r="AH30" s="8">
        <f t="shared" ref="AH30:AH46" si="6">AD30+AG30</f>
        <v>0.1986</v>
      </c>
    </row>
    <row r="31">
      <c r="A31" s="2">
        <v>1.0</v>
      </c>
      <c r="B31" s="2" t="s">
        <v>76</v>
      </c>
      <c r="C31" s="2" t="s">
        <v>77</v>
      </c>
      <c r="D31" s="2" t="s">
        <v>86</v>
      </c>
      <c r="E31" s="2" t="s">
        <v>106</v>
      </c>
      <c r="F31" s="2" t="s">
        <v>120</v>
      </c>
      <c r="G31" s="2">
        <v>2.0</v>
      </c>
      <c r="H31" s="2" t="s">
        <v>122</v>
      </c>
      <c r="I31" s="3">
        <v>45639.0</v>
      </c>
      <c r="J31" s="2">
        <v>1.0</v>
      </c>
      <c r="AA31" s="25"/>
      <c r="AB31" s="2" t="s">
        <v>82</v>
      </c>
      <c r="AC31" s="6"/>
      <c r="AD31" s="2">
        <v>0.15317</v>
      </c>
      <c r="AG31" s="2">
        <f t="shared" si="1"/>
        <v>0</v>
      </c>
      <c r="AH31" s="8">
        <f t="shared" si="6"/>
        <v>0.15317</v>
      </c>
    </row>
    <row r="32">
      <c r="A32" s="2">
        <v>1.0</v>
      </c>
      <c r="B32" s="2" t="s">
        <v>76</v>
      </c>
      <c r="C32" s="2" t="s">
        <v>77</v>
      </c>
      <c r="D32" s="2" t="s">
        <v>86</v>
      </c>
      <c r="E32" s="2" t="s">
        <v>99</v>
      </c>
      <c r="F32" s="2" t="s">
        <v>120</v>
      </c>
      <c r="G32" s="2">
        <v>3.0</v>
      </c>
      <c r="H32" s="2" t="s">
        <v>123</v>
      </c>
      <c r="I32" s="3">
        <v>45639.0</v>
      </c>
      <c r="J32" s="2">
        <v>0.0</v>
      </c>
      <c r="K32" s="4">
        <v>45735.0</v>
      </c>
      <c r="AA32" s="25"/>
      <c r="AB32" s="2" t="s">
        <v>82</v>
      </c>
      <c r="AC32" s="6"/>
      <c r="AD32" s="2">
        <v>0.06198</v>
      </c>
      <c r="AG32" s="2">
        <f t="shared" si="1"/>
        <v>0</v>
      </c>
      <c r="AH32" s="8">
        <f t="shared" si="6"/>
        <v>0.06198</v>
      </c>
    </row>
    <row r="33">
      <c r="A33" s="14">
        <v>1.0</v>
      </c>
      <c r="B33" s="14" t="s">
        <v>76</v>
      </c>
      <c r="C33" s="14" t="s">
        <v>77</v>
      </c>
      <c r="D33" s="14" t="s">
        <v>86</v>
      </c>
      <c r="E33" s="14" t="s">
        <v>106</v>
      </c>
      <c r="F33" s="14" t="s">
        <v>120</v>
      </c>
      <c r="G33" s="14">
        <v>4.0</v>
      </c>
      <c r="H33" s="14" t="s">
        <v>124</v>
      </c>
      <c r="I33" s="15">
        <v>45639.0</v>
      </c>
      <c r="J33" s="14">
        <v>0.0</v>
      </c>
      <c r="K33" s="16">
        <v>45735.0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27"/>
      <c r="AB33" s="14" t="s">
        <v>82</v>
      </c>
      <c r="AC33" s="19"/>
      <c r="AD33" s="14">
        <v>7.8E-4</v>
      </c>
      <c r="AE33" s="17"/>
      <c r="AF33" s="17"/>
      <c r="AG33" s="2">
        <f t="shared" si="1"/>
        <v>0</v>
      </c>
      <c r="AH33" s="28">
        <f t="shared" si="6"/>
        <v>0.00078</v>
      </c>
      <c r="AI33" s="14" t="s">
        <v>89</v>
      </c>
    </row>
    <row r="34">
      <c r="A34" s="2">
        <v>1.0</v>
      </c>
      <c r="B34" s="2" t="s">
        <v>76</v>
      </c>
      <c r="C34" s="2" t="s">
        <v>83</v>
      </c>
      <c r="D34" s="2" t="s">
        <v>86</v>
      </c>
      <c r="E34" s="2" t="s">
        <v>84</v>
      </c>
      <c r="F34" s="2" t="s">
        <v>120</v>
      </c>
      <c r="G34" s="2">
        <v>5.0</v>
      </c>
      <c r="H34" s="2" t="s">
        <v>125</v>
      </c>
      <c r="I34" s="3">
        <v>45639.0</v>
      </c>
      <c r="J34" s="2">
        <v>0.0</v>
      </c>
      <c r="K34" s="4">
        <v>45735.0</v>
      </c>
      <c r="L34" s="21">
        <v>45853.0</v>
      </c>
      <c r="M34" s="3">
        <v>45860.0</v>
      </c>
      <c r="N34" s="2"/>
      <c r="O34" s="2">
        <v>160.0</v>
      </c>
      <c r="P34" s="2">
        <v>94.0</v>
      </c>
      <c r="Q34" s="2">
        <v>67.0</v>
      </c>
      <c r="R34" s="2">
        <v>148.0</v>
      </c>
      <c r="S34" s="2">
        <v>101.0</v>
      </c>
      <c r="Z34" s="12">
        <v>570.0</v>
      </c>
      <c r="AA34" s="25">
        <v>114.0</v>
      </c>
      <c r="AB34" s="2">
        <v>9.0</v>
      </c>
      <c r="AC34" s="6">
        <v>1026.0</v>
      </c>
      <c r="AD34" s="2">
        <v>0.23425</v>
      </c>
      <c r="AE34" s="2">
        <v>0.0323</v>
      </c>
      <c r="AG34" s="2">
        <f t="shared" si="1"/>
        <v>0.0323</v>
      </c>
      <c r="AH34" s="8">
        <f t="shared" si="6"/>
        <v>0.26655</v>
      </c>
    </row>
    <row r="35">
      <c r="A35" s="2">
        <v>1.0</v>
      </c>
      <c r="B35" s="2" t="s">
        <v>76</v>
      </c>
      <c r="C35" s="2" t="s">
        <v>77</v>
      </c>
      <c r="D35" s="2" t="s">
        <v>78</v>
      </c>
      <c r="E35" s="2" t="s">
        <v>99</v>
      </c>
      <c r="F35" s="2" t="s">
        <v>120</v>
      </c>
      <c r="G35" s="2">
        <v>6.0</v>
      </c>
      <c r="H35" s="2" t="s">
        <v>126</v>
      </c>
      <c r="I35" s="3">
        <v>45639.0</v>
      </c>
      <c r="J35" s="2">
        <v>0.0</v>
      </c>
      <c r="K35" s="4">
        <v>45735.0</v>
      </c>
      <c r="L35" s="21">
        <v>45853.0</v>
      </c>
      <c r="M35" s="3"/>
      <c r="N35" s="2"/>
      <c r="O35" s="2">
        <v>128.0</v>
      </c>
      <c r="P35" s="2">
        <v>51.0</v>
      </c>
      <c r="Q35" s="2">
        <v>47.0</v>
      </c>
      <c r="R35" s="2">
        <v>35.0</v>
      </c>
      <c r="S35" s="2">
        <v>33.0</v>
      </c>
      <c r="V35" s="2"/>
      <c r="W35" s="2"/>
      <c r="X35" s="2"/>
      <c r="Y35" s="2">
        <v>56.0</v>
      </c>
      <c r="Z35" s="12">
        <v>350.0</v>
      </c>
      <c r="AA35" s="25">
        <v>70.0</v>
      </c>
      <c r="AB35" s="2">
        <v>5.0</v>
      </c>
      <c r="AC35" s="6">
        <v>350.0</v>
      </c>
      <c r="AD35" s="2">
        <v>0.34535</v>
      </c>
      <c r="AE35" s="2">
        <v>0.01728</v>
      </c>
      <c r="AF35" s="2">
        <v>0.00148</v>
      </c>
      <c r="AG35" s="2">
        <f t="shared" si="1"/>
        <v>0.01876</v>
      </c>
      <c r="AH35" s="8">
        <f t="shared" si="6"/>
        <v>0.36411</v>
      </c>
      <c r="AI35" s="2" t="s">
        <v>127</v>
      </c>
    </row>
    <row r="36">
      <c r="A36" s="2">
        <v>1.0</v>
      </c>
      <c r="B36" s="2" t="s">
        <v>76</v>
      </c>
      <c r="C36" s="2" t="s">
        <v>83</v>
      </c>
      <c r="D36" s="2" t="s">
        <v>78</v>
      </c>
      <c r="E36" s="2" t="s">
        <v>106</v>
      </c>
      <c r="F36" s="2" t="s">
        <v>120</v>
      </c>
      <c r="G36" s="2">
        <v>7.0</v>
      </c>
      <c r="H36" s="2" t="s">
        <v>128</v>
      </c>
      <c r="I36" s="3">
        <v>45639.0</v>
      </c>
      <c r="J36" s="2">
        <v>0.0</v>
      </c>
      <c r="K36" s="4">
        <v>45735.0</v>
      </c>
      <c r="AA36" s="25"/>
      <c r="AB36" s="2" t="s">
        <v>82</v>
      </c>
      <c r="AC36" s="6"/>
      <c r="AD36" s="2">
        <v>0.03786</v>
      </c>
      <c r="AG36" s="2">
        <f t="shared" si="1"/>
        <v>0</v>
      </c>
      <c r="AH36" s="8">
        <f t="shared" si="6"/>
        <v>0.03786</v>
      </c>
    </row>
    <row r="37">
      <c r="A37" s="2">
        <v>1.0</v>
      </c>
      <c r="B37" s="2" t="s">
        <v>76</v>
      </c>
      <c r="C37" s="2" t="s">
        <v>77</v>
      </c>
      <c r="D37" s="2" t="s">
        <v>86</v>
      </c>
      <c r="E37" s="2" t="s">
        <v>90</v>
      </c>
      <c r="F37" s="2" t="s">
        <v>120</v>
      </c>
      <c r="G37" s="2">
        <v>8.0</v>
      </c>
      <c r="H37" s="2" t="s">
        <v>129</v>
      </c>
      <c r="I37" s="3">
        <v>45639.0</v>
      </c>
      <c r="J37" s="2">
        <v>0.0</v>
      </c>
      <c r="K37" s="4">
        <v>45735.0</v>
      </c>
      <c r="L37" s="21">
        <v>45853.0</v>
      </c>
      <c r="M37" s="3"/>
      <c r="N37" s="2"/>
      <c r="O37" s="2">
        <v>59.0</v>
      </c>
      <c r="P37" s="2">
        <v>95.0</v>
      </c>
      <c r="Q37" s="2">
        <v>96.0</v>
      </c>
      <c r="R37" s="2">
        <v>44.0</v>
      </c>
      <c r="V37" s="2"/>
      <c r="W37" s="2"/>
      <c r="X37" s="2"/>
      <c r="Y37" s="2">
        <v>52.0</v>
      </c>
      <c r="Z37" s="12">
        <v>346.0</v>
      </c>
      <c r="AA37" s="25">
        <v>86.5</v>
      </c>
      <c r="AB37" s="2">
        <v>6.0</v>
      </c>
      <c r="AC37" s="6">
        <v>519.0</v>
      </c>
      <c r="AD37" s="2">
        <v>0.23836</v>
      </c>
      <c r="AE37" s="2">
        <v>0.01927</v>
      </c>
      <c r="AG37" s="2">
        <f t="shared" si="1"/>
        <v>0.01927</v>
      </c>
      <c r="AH37" s="8">
        <f t="shared" si="6"/>
        <v>0.25763</v>
      </c>
    </row>
    <row r="38">
      <c r="A38" s="14">
        <v>1.0</v>
      </c>
      <c r="B38" s="14" t="s">
        <v>76</v>
      </c>
      <c r="C38" s="14" t="s">
        <v>83</v>
      </c>
      <c r="D38" s="14" t="s">
        <v>78</v>
      </c>
      <c r="E38" s="14" t="s">
        <v>87</v>
      </c>
      <c r="F38" s="14" t="s">
        <v>120</v>
      </c>
      <c r="G38" s="14">
        <v>9.0</v>
      </c>
      <c r="H38" s="14" t="s">
        <v>130</v>
      </c>
      <c r="I38" s="15">
        <v>45639.0</v>
      </c>
      <c r="J38" s="14">
        <v>0.0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27"/>
      <c r="AB38" s="14" t="s">
        <v>82</v>
      </c>
      <c r="AC38" s="19"/>
      <c r="AD38" s="14">
        <v>0.00593</v>
      </c>
      <c r="AE38" s="17"/>
      <c r="AF38" s="17"/>
      <c r="AG38" s="2">
        <f t="shared" si="1"/>
        <v>0</v>
      </c>
      <c r="AH38" s="28">
        <f t="shared" si="6"/>
        <v>0.00593</v>
      </c>
      <c r="AI38" s="14" t="s">
        <v>89</v>
      </c>
    </row>
    <row r="39">
      <c r="A39" s="2">
        <v>1.0</v>
      </c>
      <c r="B39" s="2" t="s">
        <v>76</v>
      </c>
      <c r="C39" s="2" t="s">
        <v>83</v>
      </c>
      <c r="D39" s="2" t="s">
        <v>78</v>
      </c>
      <c r="E39" s="2" t="s">
        <v>92</v>
      </c>
      <c r="F39" s="2" t="s">
        <v>120</v>
      </c>
      <c r="G39" s="2">
        <v>10.0</v>
      </c>
      <c r="H39" s="2" t="s">
        <v>131</v>
      </c>
      <c r="I39" s="3">
        <v>45639.0</v>
      </c>
      <c r="J39" s="2">
        <v>0.0</v>
      </c>
      <c r="K39" s="4">
        <v>45735.0</v>
      </c>
      <c r="L39" s="21">
        <v>45853.0</v>
      </c>
      <c r="M39" s="3"/>
      <c r="N39" s="2"/>
      <c r="O39" s="2">
        <v>163.0</v>
      </c>
      <c r="Z39" s="12">
        <v>163.0</v>
      </c>
      <c r="AA39" s="25">
        <v>163.0</v>
      </c>
      <c r="AB39" s="2">
        <v>1.0</v>
      </c>
      <c r="AC39" s="6">
        <v>163.0</v>
      </c>
      <c r="AD39" s="2">
        <v>0.14187</v>
      </c>
      <c r="AE39" s="2">
        <v>0.01213</v>
      </c>
      <c r="AF39" s="2">
        <v>4.1E-4</v>
      </c>
      <c r="AG39" s="2">
        <f t="shared" si="1"/>
        <v>0.01254</v>
      </c>
      <c r="AH39" s="8">
        <f t="shared" si="6"/>
        <v>0.15441</v>
      </c>
    </row>
    <row r="40">
      <c r="A40" s="2">
        <v>1.0</v>
      </c>
      <c r="B40" s="2" t="s">
        <v>76</v>
      </c>
      <c r="C40" s="2" t="s">
        <v>83</v>
      </c>
      <c r="D40" s="2" t="s">
        <v>78</v>
      </c>
      <c r="E40" s="2" t="s">
        <v>92</v>
      </c>
      <c r="F40" s="2" t="s">
        <v>120</v>
      </c>
      <c r="G40" s="2">
        <v>11.0</v>
      </c>
      <c r="H40" s="2" t="s">
        <v>132</v>
      </c>
      <c r="I40" s="3">
        <v>45639.0</v>
      </c>
      <c r="J40" s="2">
        <v>1.0</v>
      </c>
      <c r="L40" s="21">
        <v>45853.0</v>
      </c>
      <c r="M40" s="3"/>
      <c r="N40" s="2"/>
      <c r="O40" s="2">
        <v>116.0</v>
      </c>
      <c r="P40" s="2">
        <v>109.0</v>
      </c>
      <c r="Q40" s="2">
        <v>110.0</v>
      </c>
      <c r="R40" s="2">
        <v>114.0</v>
      </c>
      <c r="S40" s="2">
        <v>118.0</v>
      </c>
      <c r="T40" s="2">
        <v>37.0</v>
      </c>
      <c r="V40" s="2"/>
      <c r="W40" s="2"/>
      <c r="X40" s="2"/>
      <c r="Y40" s="2">
        <v>17.0</v>
      </c>
      <c r="Z40" s="12">
        <v>621.0</v>
      </c>
      <c r="AA40" s="25">
        <v>103.5</v>
      </c>
      <c r="AB40" s="2">
        <v>6.0</v>
      </c>
      <c r="AC40" s="6">
        <v>621.0</v>
      </c>
      <c r="AD40" s="2">
        <v>0.43062</v>
      </c>
      <c r="AE40" s="2">
        <v>0.05477</v>
      </c>
      <c r="AF40" s="2">
        <v>0.03094</v>
      </c>
      <c r="AG40" s="2">
        <f t="shared" si="1"/>
        <v>0.08571</v>
      </c>
      <c r="AH40" s="8">
        <f t="shared" si="6"/>
        <v>0.51633</v>
      </c>
    </row>
    <row r="41">
      <c r="A41" s="2">
        <v>1.0</v>
      </c>
      <c r="B41" s="2" t="s">
        <v>76</v>
      </c>
      <c r="C41" s="2" t="s">
        <v>77</v>
      </c>
      <c r="D41" s="2" t="s">
        <v>78</v>
      </c>
      <c r="E41" s="2" t="s">
        <v>84</v>
      </c>
      <c r="F41" s="2" t="s">
        <v>120</v>
      </c>
      <c r="G41" s="2">
        <v>12.0</v>
      </c>
      <c r="H41" s="2" t="s">
        <v>133</v>
      </c>
      <c r="I41" s="3">
        <v>45639.0</v>
      </c>
      <c r="J41" s="2">
        <v>1.0</v>
      </c>
      <c r="AA41" s="25"/>
      <c r="AB41" s="2" t="s">
        <v>82</v>
      </c>
      <c r="AC41" s="6"/>
      <c r="AD41" s="2">
        <v>0.02745</v>
      </c>
      <c r="AG41" s="2">
        <f t="shared" si="1"/>
        <v>0</v>
      </c>
      <c r="AH41" s="8">
        <f t="shared" si="6"/>
        <v>0.02745</v>
      </c>
    </row>
    <row r="42">
      <c r="A42" s="2">
        <v>1.0</v>
      </c>
      <c r="B42" s="2" t="s">
        <v>76</v>
      </c>
      <c r="C42" s="2" t="s">
        <v>77</v>
      </c>
      <c r="D42" s="2" t="s">
        <v>86</v>
      </c>
      <c r="E42" s="2" t="s">
        <v>84</v>
      </c>
      <c r="F42" s="2" t="s">
        <v>120</v>
      </c>
      <c r="G42" s="2">
        <v>13.0</v>
      </c>
      <c r="H42" s="2" t="s">
        <v>134</v>
      </c>
      <c r="I42" s="3">
        <v>45639.0</v>
      </c>
      <c r="J42" s="2">
        <v>0.0</v>
      </c>
      <c r="K42" s="4">
        <v>45735.0</v>
      </c>
      <c r="L42" s="21" t="s">
        <v>135</v>
      </c>
      <c r="O42" s="2">
        <v>96.0</v>
      </c>
      <c r="AA42" s="25"/>
      <c r="AB42" s="2">
        <v>1.0</v>
      </c>
      <c r="AC42" s="6"/>
      <c r="AD42" s="2">
        <v>0.16275</v>
      </c>
      <c r="AE42" s="2">
        <v>0.00802</v>
      </c>
      <c r="AF42" s="2">
        <v>0.03287</v>
      </c>
      <c r="AG42" s="2">
        <f t="shared" si="1"/>
        <v>0.04089</v>
      </c>
      <c r="AH42" s="8">
        <f t="shared" si="6"/>
        <v>0.20364</v>
      </c>
    </row>
    <row r="43">
      <c r="A43" s="2">
        <v>1.0</v>
      </c>
      <c r="B43" s="2" t="s">
        <v>76</v>
      </c>
      <c r="C43" s="2" t="s">
        <v>83</v>
      </c>
      <c r="D43" s="2" t="s">
        <v>78</v>
      </c>
      <c r="E43" s="2" t="s">
        <v>92</v>
      </c>
      <c r="F43" s="2" t="s">
        <v>120</v>
      </c>
      <c r="G43" s="2">
        <v>14.0</v>
      </c>
      <c r="H43" s="2" t="s">
        <v>136</v>
      </c>
      <c r="I43" s="3">
        <v>45639.0</v>
      </c>
      <c r="J43" s="2">
        <v>1.0</v>
      </c>
      <c r="L43" s="21">
        <v>45852.0</v>
      </c>
      <c r="M43" s="3"/>
      <c r="N43" s="2"/>
      <c r="O43" s="2">
        <v>74.0</v>
      </c>
      <c r="P43" s="2">
        <v>122.0</v>
      </c>
      <c r="Q43" s="2">
        <v>116.0</v>
      </c>
      <c r="R43" s="2">
        <v>60.0</v>
      </c>
      <c r="S43" s="2">
        <v>137.0</v>
      </c>
      <c r="V43" s="2"/>
      <c r="W43" s="2"/>
      <c r="X43" s="2"/>
      <c r="Y43" s="2">
        <v>41.0</v>
      </c>
      <c r="Z43" s="12">
        <v>550.0</v>
      </c>
      <c r="AA43" s="25">
        <v>110.0</v>
      </c>
      <c r="AB43" s="2">
        <v>5.0</v>
      </c>
      <c r="AC43" s="6">
        <v>550.0</v>
      </c>
      <c r="AD43" s="2">
        <v>0.44179</v>
      </c>
      <c r="AE43" s="2">
        <v>0.07251</v>
      </c>
      <c r="AF43" s="2">
        <v>1.9E-4</v>
      </c>
      <c r="AG43" s="2">
        <f t="shared" si="1"/>
        <v>0.0727</v>
      </c>
      <c r="AH43" s="8">
        <f t="shared" si="6"/>
        <v>0.51449</v>
      </c>
    </row>
    <row r="44">
      <c r="A44" s="2">
        <v>1.0</v>
      </c>
      <c r="B44" s="2" t="s">
        <v>76</v>
      </c>
      <c r="C44" s="2" t="s">
        <v>83</v>
      </c>
      <c r="D44" s="2" t="s">
        <v>86</v>
      </c>
      <c r="E44" s="2" t="s">
        <v>84</v>
      </c>
      <c r="F44" s="2" t="s">
        <v>137</v>
      </c>
      <c r="G44" s="2">
        <v>1.0</v>
      </c>
      <c r="H44" s="2" t="s">
        <v>138</v>
      </c>
      <c r="I44" s="3">
        <v>45639.0</v>
      </c>
      <c r="J44" s="2">
        <v>0.0</v>
      </c>
      <c r="K44" s="4">
        <v>45735.0</v>
      </c>
      <c r="L44" s="21">
        <v>45853.0</v>
      </c>
      <c r="M44" s="3">
        <v>45860.0</v>
      </c>
      <c r="N44" s="2"/>
      <c r="O44" s="2">
        <v>119.0</v>
      </c>
      <c r="P44" s="2">
        <v>109.0</v>
      </c>
      <c r="Q44" s="2">
        <v>119.0</v>
      </c>
      <c r="R44" s="2">
        <v>135.0</v>
      </c>
      <c r="Z44" s="12">
        <v>482.0</v>
      </c>
      <c r="AA44" s="25">
        <v>120.5</v>
      </c>
      <c r="AB44" s="2">
        <v>4.0</v>
      </c>
      <c r="AC44" s="6">
        <v>482.0</v>
      </c>
      <c r="AD44" s="2">
        <v>0.19533</v>
      </c>
      <c r="AE44" s="2">
        <v>0.04857</v>
      </c>
      <c r="AF44" s="2">
        <v>0.00238</v>
      </c>
      <c r="AG44" s="2">
        <f t="shared" si="1"/>
        <v>0.05095</v>
      </c>
      <c r="AH44" s="8">
        <f t="shared" si="6"/>
        <v>0.24628</v>
      </c>
    </row>
    <row r="45">
      <c r="A45" s="2">
        <v>1.0</v>
      </c>
      <c r="B45" s="2" t="s">
        <v>76</v>
      </c>
      <c r="C45" s="2" t="s">
        <v>77</v>
      </c>
      <c r="D45" s="2" t="s">
        <v>86</v>
      </c>
      <c r="E45" s="2" t="s">
        <v>84</v>
      </c>
      <c r="F45" s="2" t="s">
        <v>137</v>
      </c>
      <c r="G45" s="2">
        <v>2.0</v>
      </c>
      <c r="H45" s="2" t="s">
        <v>139</v>
      </c>
      <c r="I45" s="3">
        <v>45639.0</v>
      </c>
      <c r="J45" s="2">
        <v>1.0</v>
      </c>
      <c r="L45" s="21">
        <v>45853.0</v>
      </c>
      <c r="M45" s="3"/>
      <c r="N45" s="2"/>
      <c r="O45" s="2">
        <v>83.0</v>
      </c>
      <c r="P45" s="2">
        <v>49.0</v>
      </c>
      <c r="V45" s="2"/>
      <c r="W45" s="2"/>
      <c r="X45" s="2"/>
      <c r="Y45" s="2">
        <v>82.0</v>
      </c>
      <c r="Z45" s="12">
        <v>214.0</v>
      </c>
      <c r="AA45" s="25">
        <v>107.0</v>
      </c>
      <c r="AB45" s="2">
        <v>2.0</v>
      </c>
      <c r="AC45" s="6">
        <v>214.0</v>
      </c>
      <c r="AD45" s="2">
        <v>0.47625</v>
      </c>
      <c r="AE45" s="2">
        <v>0.04843</v>
      </c>
      <c r="AG45" s="2">
        <f t="shared" si="1"/>
        <v>0.04843</v>
      </c>
      <c r="AH45" s="8">
        <f t="shared" si="6"/>
        <v>0.52468</v>
      </c>
    </row>
    <row r="46">
      <c r="A46" s="2">
        <v>1.0</v>
      </c>
      <c r="B46" s="2" t="s">
        <v>76</v>
      </c>
      <c r="C46" s="2" t="s">
        <v>77</v>
      </c>
      <c r="D46" s="2" t="s">
        <v>78</v>
      </c>
      <c r="E46" s="2" t="s">
        <v>90</v>
      </c>
      <c r="F46" s="2" t="s">
        <v>137</v>
      </c>
      <c r="G46" s="2">
        <v>3.0</v>
      </c>
      <c r="H46" s="2" t="s">
        <v>140</v>
      </c>
      <c r="I46" s="3">
        <v>45639.0</v>
      </c>
      <c r="J46" s="2">
        <v>1.0</v>
      </c>
      <c r="L46" s="21">
        <v>45845.0</v>
      </c>
      <c r="M46" s="3"/>
      <c r="N46" s="2"/>
      <c r="O46" s="2">
        <v>94.0</v>
      </c>
      <c r="P46" s="2">
        <v>43.0</v>
      </c>
      <c r="Q46" s="2">
        <v>41.0</v>
      </c>
      <c r="R46" s="2">
        <v>85.0</v>
      </c>
      <c r="S46" s="2">
        <v>87.0</v>
      </c>
      <c r="V46" s="2"/>
      <c r="W46" s="2"/>
      <c r="X46" s="2"/>
      <c r="Y46" s="2">
        <v>17.0</v>
      </c>
      <c r="Z46" s="12">
        <v>367.0</v>
      </c>
      <c r="AA46" s="5">
        <v>73.4</v>
      </c>
      <c r="AB46" s="2">
        <v>5.0</v>
      </c>
      <c r="AC46" s="6">
        <v>367.0</v>
      </c>
      <c r="AD46" s="2">
        <v>0.57134</v>
      </c>
      <c r="AE46" s="2">
        <v>0.07839</v>
      </c>
      <c r="AF46" s="2">
        <v>0.03275</v>
      </c>
      <c r="AG46" s="2">
        <f t="shared" si="1"/>
        <v>0.11114</v>
      </c>
      <c r="AH46" s="8">
        <f t="shared" si="6"/>
        <v>0.68248</v>
      </c>
    </row>
    <row r="47">
      <c r="A47" s="14">
        <v>1.0</v>
      </c>
      <c r="B47" s="14" t="s">
        <v>76</v>
      </c>
      <c r="C47" s="14" t="s">
        <v>83</v>
      </c>
      <c r="D47" s="14" t="s">
        <v>78</v>
      </c>
      <c r="E47" s="14" t="s">
        <v>106</v>
      </c>
      <c r="F47" s="14" t="s">
        <v>137</v>
      </c>
      <c r="G47" s="14">
        <v>4.0</v>
      </c>
      <c r="H47" s="14" t="s">
        <v>141</v>
      </c>
      <c r="I47" s="15">
        <v>45639.0</v>
      </c>
      <c r="J47" s="14">
        <v>0.0</v>
      </c>
      <c r="K47" s="16">
        <v>45735.0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27"/>
      <c r="AB47" s="14" t="s">
        <v>82</v>
      </c>
      <c r="AC47" s="19"/>
      <c r="AD47" s="17"/>
      <c r="AE47" s="17"/>
      <c r="AF47" s="17"/>
      <c r="AG47" s="2">
        <f t="shared" si="1"/>
        <v>0</v>
      </c>
      <c r="AH47" s="17"/>
      <c r="AI47" s="14" t="s">
        <v>89</v>
      </c>
    </row>
    <row r="48">
      <c r="A48" s="2">
        <v>1.0</v>
      </c>
      <c r="B48" s="2" t="s">
        <v>76</v>
      </c>
      <c r="C48" s="2" t="s">
        <v>77</v>
      </c>
      <c r="D48" s="2" t="s">
        <v>86</v>
      </c>
      <c r="E48" s="2" t="s">
        <v>99</v>
      </c>
      <c r="F48" s="2" t="s">
        <v>137</v>
      </c>
      <c r="G48" s="2">
        <v>5.0</v>
      </c>
      <c r="H48" s="2" t="s">
        <v>142</v>
      </c>
      <c r="I48" s="3">
        <v>45639.0</v>
      </c>
      <c r="J48" s="2">
        <v>1.0</v>
      </c>
      <c r="L48" s="21">
        <v>45845.0</v>
      </c>
      <c r="M48" s="3"/>
      <c r="N48" s="2"/>
      <c r="O48" s="2">
        <v>37.0</v>
      </c>
      <c r="P48" s="2">
        <v>78.0</v>
      </c>
      <c r="Q48" s="2">
        <v>28.0</v>
      </c>
      <c r="R48" s="2">
        <v>92.0</v>
      </c>
      <c r="S48" s="2">
        <v>95.0</v>
      </c>
      <c r="T48" s="2"/>
      <c r="U48" s="2"/>
      <c r="V48" s="2"/>
      <c r="W48" s="2"/>
      <c r="X48" s="2"/>
      <c r="Y48" s="2">
        <v>20.0</v>
      </c>
      <c r="Z48" s="12">
        <v>350.0</v>
      </c>
      <c r="AA48" s="5">
        <v>70.0</v>
      </c>
      <c r="AB48" s="2">
        <v>5.0</v>
      </c>
      <c r="AC48" s="6">
        <v>350.0</v>
      </c>
      <c r="AD48" s="2">
        <v>0.39833</v>
      </c>
      <c r="AE48" s="2">
        <v>0.03055</v>
      </c>
      <c r="AG48" s="2">
        <f t="shared" si="1"/>
        <v>0.03055</v>
      </c>
      <c r="AH48" s="8">
        <f>AD48+AG48</f>
        <v>0.42888</v>
      </c>
    </row>
    <row r="49">
      <c r="A49" s="2">
        <v>1.0</v>
      </c>
      <c r="B49" s="2" t="s">
        <v>76</v>
      </c>
      <c r="C49" s="2" t="s">
        <v>77</v>
      </c>
      <c r="D49" s="2" t="s">
        <v>86</v>
      </c>
      <c r="E49" s="2" t="s">
        <v>84</v>
      </c>
      <c r="F49" s="2" t="s">
        <v>137</v>
      </c>
      <c r="G49" s="2">
        <v>6.0</v>
      </c>
      <c r="H49" s="2" t="s">
        <v>143</v>
      </c>
      <c r="I49" s="3">
        <v>45639.0</v>
      </c>
      <c r="J49" s="2">
        <v>0.0</v>
      </c>
      <c r="K49" s="4">
        <v>45735.0</v>
      </c>
      <c r="AA49" s="25"/>
      <c r="AB49" s="2" t="s">
        <v>82</v>
      </c>
      <c r="AC49" s="6"/>
      <c r="AD49" s="2">
        <v>0.12285</v>
      </c>
      <c r="AG49" s="2">
        <f t="shared" si="1"/>
        <v>0</v>
      </c>
    </row>
    <row r="50">
      <c r="A50" s="2">
        <v>1.0</v>
      </c>
      <c r="B50" s="2" t="s">
        <v>76</v>
      </c>
      <c r="C50" s="2" t="s">
        <v>77</v>
      </c>
      <c r="D50" s="2" t="s">
        <v>78</v>
      </c>
      <c r="E50" s="2" t="s">
        <v>106</v>
      </c>
      <c r="F50" s="2" t="s">
        <v>137</v>
      </c>
      <c r="G50" s="2">
        <v>7.0</v>
      </c>
      <c r="H50" s="2" t="s">
        <v>144</v>
      </c>
      <c r="I50" s="3">
        <v>45639.0</v>
      </c>
      <c r="J50" s="2">
        <v>1.0</v>
      </c>
      <c r="AA50" s="25"/>
      <c r="AB50" s="2" t="s">
        <v>82</v>
      </c>
      <c r="AC50" s="6"/>
      <c r="AD50" s="2">
        <v>0.14179</v>
      </c>
      <c r="AG50" s="2">
        <f t="shared" si="1"/>
        <v>0</v>
      </c>
    </row>
    <row r="51">
      <c r="A51" s="14">
        <v>1.0</v>
      </c>
      <c r="B51" s="14" t="s">
        <v>76</v>
      </c>
      <c r="C51" s="14" t="s">
        <v>83</v>
      </c>
      <c r="D51" s="14" t="s">
        <v>86</v>
      </c>
      <c r="E51" s="14" t="s">
        <v>99</v>
      </c>
      <c r="F51" s="14" t="s">
        <v>137</v>
      </c>
      <c r="G51" s="14">
        <v>8.0</v>
      </c>
      <c r="H51" s="14" t="s">
        <v>145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27"/>
      <c r="AB51" s="14" t="s">
        <v>82</v>
      </c>
      <c r="AC51" s="19"/>
      <c r="AD51" s="17"/>
      <c r="AE51" s="17"/>
      <c r="AF51" s="17"/>
      <c r="AG51" s="2">
        <f t="shared" si="1"/>
        <v>0</v>
      </c>
      <c r="AH51" s="17"/>
      <c r="AI51" s="14" t="s">
        <v>146</v>
      </c>
    </row>
    <row r="52">
      <c r="A52" s="14">
        <v>1.0</v>
      </c>
      <c r="B52" s="14" t="s">
        <v>76</v>
      </c>
      <c r="C52" s="14" t="s">
        <v>83</v>
      </c>
      <c r="D52" s="14" t="s">
        <v>86</v>
      </c>
      <c r="E52" s="14" t="s">
        <v>99</v>
      </c>
      <c r="F52" s="14" t="s">
        <v>137</v>
      </c>
      <c r="G52" s="14">
        <v>9.0</v>
      </c>
      <c r="H52" s="14" t="s">
        <v>147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27"/>
      <c r="AB52" s="14" t="s">
        <v>82</v>
      </c>
      <c r="AC52" s="19"/>
      <c r="AD52" s="17"/>
      <c r="AE52" s="17"/>
      <c r="AF52" s="17"/>
      <c r="AG52" s="2">
        <f t="shared" si="1"/>
        <v>0</v>
      </c>
      <c r="AH52" s="17"/>
      <c r="AI52" s="14" t="s">
        <v>146</v>
      </c>
    </row>
    <row r="53">
      <c r="A53" s="2">
        <v>1.0</v>
      </c>
      <c r="B53" s="2" t="s">
        <v>76</v>
      </c>
      <c r="C53" s="2" t="s">
        <v>77</v>
      </c>
      <c r="D53" s="2" t="s">
        <v>86</v>
      </c>
      <c r="E53" s="2" t="s">
        <v>87</v>
      </c>
      <c r="F53" s="2" t="s">
        <v>137</v>
      </c>
      <c r="G53" s="2">
        <v>10.0</v>
      </c>
      <c r="H53" s="2" t="s">
        <v>148</v>
      </c>
      <c r="I53" s="3">
        <v>45639.0</v>
      </c>
      <c r="J53" s="2">
        <v>1.0</v>
      </c>
      <c r="AA53" s="25"/>
      <c r="AB53" s="2" t="s">
        <v>82</v>
      </c>
      <c r="AC53" s="6"/>
      <c r="AD53" s="2">
        <v>0.0238</v>
      </c>
      <c r="AG53" s="2">
        <f t="shared" si="1"/>
        <v>0</v>
      </c>
    </row>
    <row r="54">
      <c r="A54" s="14">
        <v>1.0</v>
      </c>
      <c r="B54" s="14" t="s">
        <v>76</v>
      </c>
      <c r="C54" s="14" t="s">
        <v>77</v>
      </c>
      <c r="D54" s="14" t="s">
        <v>78</v>
      </c>
      <c r="E54" s="14" t="s">
        <v>79</v>
      </c>
      <c r="F54" s="14" t="s">
        <v>137</v>
      </c>
      <c r="G54" s="14">
        <v>11.0</v>
      </c>
      <c r="H54" s="14" t="s">
        <v>149</v>
      </c>
      <c r="I54" s="15">
        <v>45639.0</v>
      </c>
      <c r="J54" s="14">
        <v>1.0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27"/>
      <c r="AB54" s="14" t="s">
        <v>82</v>
      </c>
      <c r="AC54" s="19"/>
      <c r="AD54" s="17"/>
      <c r="AE54" s="17"/>
      <c r="AF54" s="17"/>
      <c r="AG54" s="2">
        <f t="shared" si="1"/>
        <v>0</v>
      </c>
      <c r="AH54" s="17"/>
      <c r="AI54" s="14" t="s">
        <v>89</v>
      </c>
    </row>
    <row r="55">
      <c r="A55" s="2">
        <v>1.0</v>
      </c>
      <c r="B55" s="2" t="s">
        <v>76</v>
      </c>
      <c r="C55" s="2" t="s">
        <v>77</v>
      </c>
      <c r="D55" s="2" t="s">
        <v>78</v>
      </c>
      <c r="E55" s="2" t="s">
        <v>106</v>
      </c>
      <c r="F55" s="2" t="s">
        <v>137</v>
      </c>
      <c r="G55" s="2">
        <v>12.0</v>
      </c>
      <c r="H55" s="2" t="s">
        <v>150</v>
      </c>
      <c r="I55" s="3">
        <v>45639.0</v>
      </c>
      <c r="J55" s="2">
        <v>1.0</v>
      </c>
      <c r="AA55" s="25"/>
      <c r="AB55" s="2" t="s">
        <v>82</v>
      </c>
      <c r="AC55" s="6"/>
      <c r="AD55" s="2">
        <v>0.13478</v>
      </c>
      <c r="AG55" s="2">
        <f t="shared" si="1"/>
        <v>0</v>
      </c>
    </row>
    <row r="56">
      <c r="A56" s="2">
        <v>1.0</v>
      </c>
      <c r="B56" s="2" t="s">
        <v>76</v>
      </c>
      <c r="C56" s="2" t="s">
        <v>77</v>
      </c>
      <c r="D56" s="2" t="s">
        <v>78</v>
      </c>
      <c r="E56" s="2" t="s">
        <v>92</v>
      </c>
      <c r="F56" s="2" t="s">
        <v>137</v>
      </c>
      <c r="G56" s="2">
        <v>13.0</v>
      </c>
      <c r="H56" s="2" t="s">
        <v>151</v>
      </c>
      <c r="I56" s="3">
        <v>45639.0</v>
      </c>
      <c r="J56" s="2">
        <v>1.0</v>
      </c>
      <c r="L56" s="21">
        <v>45845.0</v>
      </c>
      <c r="M56" s="3"/>
      <c r="N56" s="2"/>
      <c r="O56" s="2">
        <v>40.0</v>
      </c>
      <c r="P56" s="2">
        <v>19.0</v>
      </c>
      <c r="Q56" s="2">
        <v>47.0</v>
      </c>
      <c r="R56" s="2">
        <v>25.0</v>
      </c>
      <c r="S56" s="2">
        <v>46.0</v>
      </c>
      <c r="T56" s="2">
        <v>78.0</v>
      </c>
      <c r="U56" s="2">
        <v>43.0</v>
      </c>
      <c r="V56" s="2"/>
      <c r="W56" s="2"/>
      <c r="X56" s="2"/>
      <c r="Y56" s="2">
        <v>12.0</v>
      </c>
      <c r="Z56" s="12">
        <v>310.0</v>
      </c>
      <c r="AA56" s="5">
        <v>44.285714285714285</v>
      </c>
      <c r="AB56" s="2">
        <v>7.0</v>
      </c>
      <c r="AC56" s="6">
        <v>310.0</v>
      </c>
      <c r="AD56" s="2">
        <v>0.44228</v>
      </c>
      <c r="AE56" s="2">
        <v>0.02947</v>
      </c>
      <c r="AF56" s="2">
        <v>0.00498</v>
      </c>
      <c r="AG56" s="2">
        <f t="shared" si="1"/>
        <v>0.03445</v>
      </c>
      <c r="AH56" s="8">
        <f>AD56+AG56</f>
        <v>0.47673</v>
      </c>
    </row>
    <row r="57">
      <c r="A57" s="14">
        <v>1.0</v>
      </c>
      <c r="B57" s="14" t="s">
        <v>76</v>
      </c>
      <c r="C57" s="14" t="s">
        <v>83</v>
      </c>
      <c r="D57" s="14" t="s">
        <v>78</v>
      </c>
      <c r="E57" s="14" t="s">
        <v>99</v>
      </c>
      <c r="F57" s="14" t="s">
        <v>137</v>
      </c>
      <c r="G57" s="14">
        <v>14.0</v>
      </c>
      <c r="H57" s="14" t="s">
        <v>152</v>
      </c>
      <c r="I57" s="15">
        <v>45639.0</v>
      </c>
      <c r="J57" s="14">
        <v>0.0</v>
      </c>
      <c r="K57" s="16">
        <v>45735.0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27"/>
      <c r="AB57" s="14" t="s">
        <v>82</v>
      </c>
      <c r="AC57" s="19"/>
      <c r="AD57" s="17"/>
      <c r="AE57" s="17"/>
      <c r="AF57" s="17"/>
      <c r="AG57" s="2">
        <f t="shared" si="1"/>
        <v>0</v>
      </c>
      <c r="AH57" s="17"/>
      <c r="AI57" s="14" t="s">
        <v>89</v>
      </c>
    </row>
    <row r="58">
      <c r="A58" s="2">
        <v>1.0</v>
      </c>
      <c r="B58" s="2" t="s">
        <v>76</v>
      </c>
      <c r="C58" s="2" t="s">
        <v>77</v>
      </c>
      <c r="D58" s="2" t="s">
        <v>78</v>
      </c>
      <c r="E58" s="2" t="s">
        <v>84</v>
      </c>
      <c r="F58" s="2" t="s">
        <v>153</v>
      </c>
      <c r="G58" s="2">
        <v>1.0</v>
      </c>
      <c r="H58" s="2" t="s">
        <v>154</v>
      </c>
      <c r="I58" s="3">
        <v>45639.0</v>
      </c>
      <c r="J58" s="2">
        <v>0.0</v>
      </c>
      <c r="K58" s="4">
        <v>45735.0</v>
      </c>
      <c r="AA58" s="25"/>
      <c r="AB58" s="2" t="s">
        <v>82</v>
      </c>
      <c r="AC58" s="6"/>
      <c r="AD58" s="2">
        <v>0.28565</v>
      </c>
      <c r="AG58" s="2">
        <f t="shared" si="1"/>
        <v>0</v>
      </c>
    </row>
    <row r="59">
      <c r="A59" s="2">
        <v>1.0</v>
      </c>
      <c r="B59" s="2" t="s">
        <v>76</v>
      </c>
      <c r="C59" s="2" t="s">
        <v>83</v>
      </c>
      <c r="D59" s="2" t="s">
        <v>86</v>
      </c>
      <c r="E59" s="2" t="s">
        <v>106</v>
      </c>
      <c r="F59" s="2" t="s">
        <v>153</v>
      </c>
      <c r="G59" s="2">
        <v>2.0</v>
      </c>
      <c r="H59" s="2" t="s">
        <v>155</v>
      </c>
      <c r="I59" s="4">
        <v>45735.0</v>
      </c>
      <c r="L59" s="21">
        <v>45853.0</v>
      </c>
      <c r="M59" s="3"/>
      <c r="N59" s="2"/>
      <c r="O59" s="2">
        <v>61.0</v>
      </c>
      <c r="P59" s="2">
        <v>85.0</v>
      </c>
      <c r="Q59" s="2">
        <v>62.0</v>
      </c>
      <c r="Z59" s="12">
        <v>208.0</v>
      </c>
      <c r="AA59" s="25">
        <v>69.33333333333333</v>
      </c>
      <c r="AB59" s="2">
        <v>6.0</v>
      </c>
      <c r="AC59" s="6">
        <v>416.0</v>
      </c>
      <c r="AD59" s="2">
        <v>0.16158</v>
      </c>
      <c r="AE59" s="2">
        <v>0.02581</v>
      </c>
      <c r="AG59" s="2">
        <f t="shared" si="1"/>
        <v>0.02581</v>
      </c>
      <c r="AH59" s="8">
        <f t="shared" ref="AH59:AH60" si="7">AD59+AG59</f>
        <v>0.18739</v>
      </c>
    </row>
    <row r="60">
      <c r="A60" s="2">
        <v>1.0</v>
      </c>
      <c r="B60" s="2" t="s">
        <v>76</v>
      </c>
      <c r="C60" s="2" t="s">
        <v>77</v>
      </c>
      <c r="D60" s="2" t="s">
        <v>86</v>
      </c>
      <c r="E60" s="2" t="s">
        <v>92</v>
      </c>
      <c r="F60" s="2" t="s">
        <v>153</v>
      </c>
      <c r="G60" s="2">
        <v>3.0</v>
      </c>
      <c r="H60" s="2" t="s">
        <v>156</v>
      </c>
      <c r="I60" s="3">
        <v>45639.0</v>
      </c>
      <c r="J60" s="2">
        <v>1.0</v>
      </c>
      <c r="L60" s="21">
        <v>45845.0</v>
      </c>
      <c r="M60" s="3"/>
      <c r="N60" s="2"/>
      <c r="O60" s="2">
        <v>72.0</v>
      </c>
      <c r="P60" s="2">
        <v>87.0</v>
      </c>
      <c r="Q60" s="2">
        <v>33.0</v>
      </c>
      <c r="R60" s="2">
        <v>29.0</v>
      </c>
      <c r="S60" s="2">
        <v>70.0</v>
      </c>
      <c r="T60" s="2">
        <v>57.0</v>
      </c>
      <c r="U60" s="2">
        <v>81.0</v>
      </c>
      <c r="V60" s="2"/>
      <c r="W60" s="2"/>
      <c r="X60" s="2"/>
      <c r="Y60" s="2">
        <v>65.0</v>
      </c>
      <c r="Z60" s="12">
        <v>494.0</v>
      </c>
      <c r="AA60" s="5">
        <v>70.57142857142857</v>
      </c>
      <c r="AB60" s="2">
        <v>7.0</v>
      </c>
      <c r="AC60" s="6">
        <v>494.0</v>
      </c>
      <c r="AD60" s="2">
        <v>0.52775</v>
      </c>
      <c r="AE60" s="2">
        <v>0.08035</v>
      </c>
      <c r="AG60" s="2">
        <f t="shared" si="1"/>
        <v>0.08035</v>
      </c>
      <c r="AH60" s="8">
        <f t="shared" si="7"/>
        <v>0.6081</v>
      </c>
    </row>
    <row r="61">
      <c r="A61" s="14">
        <v>1.0</v>
      </c>
      <c r="B61" s="14" t="s">
        <v>76</v>
      </c>
      <c r="C61" s="14" t="s">
        <v>77</v>
      </c>
      <c r="D61" s="14" t="s">
        <v>78</v>
      </c>
      <c r="E61" s="14" t="s">
        <v>79</v>
      </c>
      <c r="F61" s="14" t="s">
        <v>153</v>
      </c>
      <c r="G61" s="14">
        <v>4.0</v>
      </c>
      <c r="H61" s="14" t="s">
        <v>157</v>
      </c>
      <c r="I61" s="15">
        <v>45639.0</v>
      </c>
      <c r="J61" s="14">
        <v>0.0</v>
      </c>
      <c r="K61" s="16">
        <v>45735.0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8"/>
      <c r="AB61" s="14" t="s">
        <v>82</v>
      </c>
      <c r="AC61" s="19"/>
      <c r="AD61" s="14">
        <v>0.0099</v>
      </c>
      <c r="AE61" s="17"/>
      <c r="AF61" s="17"/>
      <c r="AG61" s="2">
        <f t="shared" si="1"/>
        <v>0</v>
      </c>
      <c r="AH61" s="17"/>
      <c r="AI61" s="14" t="s">
        <v>89</v>
      </c>
    </row>
    <row r="62">
      <c r="A62" s="2">
        <v>1.0</v>
      </c>
      <c r="B62" s="2" t="s">
        <v>76</v>
      </c>
      <c r="C62" s="2" t="s">
        <v>77</v>
      </c>
      <c r="D62" s="2" t="s">
        <v>78</v>
      </c>
      <c r="E62" s="2" t="s">
        <v>92</v>
      </c>
      <c r="F62" s="2" t="s">
        <v>153</v>
      </c>
      <c r="G62" s="2">
        <v>5.0</v>
      </c>
      <c r="H62" s="2" t="s">
        <v>158</v>
      </c>
      <c r="I62" s="3">
        <v>45639.0</v>
      </c>
      <c r="J62" s="2">
        <v>1.0</v>
      </c>
      <c r="L62" s="21">
        <v>45845.0</v>
      </c>
      <c r="M62" s="3"/>
      <c r="N62" s="2"/>
      <c r="O62" s="2">
        <v>64.0</v>
      </c>
      <c r="P62" s="2">
        <v>13.0</v>
      </c>
      <c r="Q62" s="2">
        <v>73.0</v>
      </c>
      <c r="R62" s="2">
        <v>73.0</v>
      </c>
      <c r="S62" s="2">
        <v>88.0</v>
      </c>
      <c r="T62" s="2">
        <v>69.0</v>
      </c>
      <c r="V62" s="2"/>
      <c r="W62" s="2"/>
      <c r="X62" s="2"/>
      <c r="Y62" s="2">
        <v>8.0</v>
      </c>
      <c r="Z62" s="12">
        <v>388.0</v>
      </c>
      <c r="AA62" s="5">
        <v>64.66666666666667</v>
      </c>
      <c r="AB62" s="2">
        <v>6.0</v>
      </c>
      <c r="AC62" s="6">
        <v>388.0</v>
      </c>
      <c r="AD62" s="2">
        <v>0.38477</v>
      </c>
      <c r="AE62" s="2">
        <v>0.00145</v>
      </c>
      <c r="AF62" s="2">
        <v>0.01273</v>
      </c>
      <c r="AG62" s="2">
        <f t="shared" si="1"/>
        <v>0.01418</v>
      </c>
      <c r="AH62" s="8">
        <f>AD62+AG62</f>
        <v>0.39895</v>
      </c>
    </row>
    <row r="63">
      <c r="A63" s="14">
        <v>1.0</v>
      </c>
      <c r="B63" s="14" t="s">
        <v>76</v>
      </c>
      <c r="C63" s="14" t="s">
        <v>77</v>
      </c>
      <c r="D63" s="14" t="s">
        <v>78</v>
      </c>
      <c r="E63" s="14" t="s">
        <v>87</v>
      </c>
      <c r="F63" s="14" t="s">
        <v>153</v>
      </c>
      <c r="G63" s="14">
        <v>6.0</v>
      </c>
      <c r="H63" s="14" t="s">
        <v>159</v>
      </c>
      <c r="I63" s="15">
        <v>45639.0</v>
      </c>
      <c r="J63" s="14">
        <v>0.0</v>
      </c>
      <c r="K63" s="16">
        <v>45735.0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8"/>
      <c r="AB63" s="14" t="s">
        <v>82</v>
      </c>
      <c r="AC63" s="19"/>
      <c r="AD63" s="14">
        <v>0.03146</v>
      </c>
      <c r="AE63" s="17"/>
      <c r="AF63" s="17"/>
      <c r="AG63" s="2">
        <f t="shared" si="1"/>
        <v>0</v>
      </c>
      <c r="AH63" s="17"/>
      <c r="AI63" s="14" t="s">
        <v>89</v>
      </c>
    </row>
    <row r="64">
      <c r="A64" s="2">
        <v>1.0</v>
      </c>
      <c r="B64" s="2" t="s">
        <v>76</v>
      </c>
      <c r="C64" s="2" t="s">
        <v>83</v>
      </c>
      <c r="D64" s="2" t="s">
        <v>78</v>
      </c>
      <c r="E64" s="2" t="s">
        <v>99</v>
      </c>
      <c r="F64" s="2" t="s">
        <v>153</v>
      </c>
      <c r="G64" s="2">
        <v>7.0</v>
      </c>
      <c r="H64" s="2" t="s">
        <v>160</v>
      </c>
      <c r="I64" s="3">
        <v>45639.0</v>
      </c>
      <c r="J64" s="2">
        <v>1.0</v>
      </c>
      <c r="L64" s="21">
        <v>45853.0</v>
      </c>
      <c r="M64" s="3"/>
      <c r="N64" s="2"/>
      <c r="O64" s="2">
        <v>101.0</v>
      </c>
      <c r="P64" s="2">
        <v>127.0</v>
      </c>
      <c r="Q64" s="2">
        <v>177.0</v>
      </c>
      <c r="R64" s="2">
        <v>177.0</v>
      </c>
      <c r="Z64" s="12">
        <v>582.0</v>
      </c>
      <c r="AA64" s="5">
        <v>145.5</v>
      </c>
      <c r="AB64" s="2">
        <v>7.0</v>
      </c>
      <c r="AC64" s="6">
        <v>1018.5</v>
      </c>
      <c r="AD64" s="2">
        <v>0.44548</v>
      </c>
      <c r="AE64" s="2">
        <v>0.0337</v>
      </c>
      <c r="AF64" s="2">
        <v>0.03719</v>
      </c>
      <c r="AG64" s="2">
        <f t="shared" si="1"/>
        <v>0.07089</v>
      </c>
      <c r="AH64" s="8">
        <f t="shared" ref="AH64:AH65" si="8">AD64+AG64</f>
        <v>0.51637</v>
      </c>
    </row>
    <row r="65">
      <c r="A65" s="2">
        <v>1.0</v>
      </c>
      <c r="B65" s="2" t="s">
        <v>76</v>
      </c>
      <c r="C65" s="2" t="s">
        <v>77</v>
      </c>
      <c r="D65" s="2" t="s">
        <v>86</v>
      </c>
      <c r="E65" s="2" t="s">
        <v>90</v>
      </c>
      <c r="F65" s="2" t="s">
        <v>153</v>
      </c>
      <c r="G65" s="2">
        <v>8.0</v>
      </c>
      <c r="H65" s="2" t="s">
        <v>161</v>
      </c>
      <c r="I65" s="3">
        <v>45639.0</v>
      </c>
      <c r="J65" s="2">
        <v>1.0</v>
      </c>
      <c r="L65" s="21">
        <v>45853.0</v>
      </c>
      <c r="M65" s="3"/>
      <c r="N65" s="14"/>
      <c r="O65" s="14">
        <v>17.0</v>
      </c>
      <c r="P65" s="2">
        <v>64.0</v>
      </c>
      <c r="Z65" s="12">
        <v>81.0</v>
      </c>
      <c r="AA65" s="5">
        <v>40.5</v>
      </c>
      <c r="AB65" s="2">
        <v>2.0</v>
      </c>
      <c r="AC65" s="6">
        <v>81.0</v>
      </c>
      <c r="AD65" s="2">
        <v>0.48399</v>
      </c>
      <c r="AE65" s="2">
        <v>0.01413</v>
      </c>
      <c r="AG65" s="2">
        <f t="shared" si="1"/>
        <v>0.01413</v>
      </c>
      <c r="AH65" s="8">
        <f t="shared" si="8"/>
        <v>0.49812</v>
      </c>
      <c r="AI65" s="2" t="s">
        <v>162</v>
      </c>
    </row>
    <row r="66">
      <c r="A66" s="14">
        <v>1.0</v>
      </c>
      <c r="B66" s="14" t="s">
        <v>76</v>
      </c>
      <c r="C66" s="14" t="s">
        <v>83</v>
      </c>
      <c r="D66" s="14" t="s">
        <v>86</v>
      </c>
      <c r="E66" s="14" t="s">
        <v>87</v>
      </c>
      <c r="F66" s="14" t="s">
        <v>153</v>
      </c>
      <c r="G66" s="14">
        <v>9.0</v>
      </c>
      <c r="H66" s="14" t="s">
        <v>163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8"/>
      <c r="AB66" s="14" t="s">
        <v>82</v>
      </c>
      <c r="AC66" s="19"/>
      <c r="AD66" s="17"/>
      <c r="AE66" s="17"/>
      <c r="AF66" s="17"/>
      <c r="AG66" s="2">
        <f t="shared" si="1"/>
        <v>0</v>
      </c>
      <c r="AH66" s="17"/>
      <c r="AI66" s="14" t="s">
        <v>146</v>
      </c>
    </row>
    <row r="67">
      <c r="A67" s="2">
        <v>1.0</v>
      </c>
      <c r="B67" s="2" t="s">
        <v>76</v>
      </c>
      <c r="C67" s="2" t="s">
        <v>77</v>
      </c>
      <c r="D67" s="2" t="s">
        <v>86</v>
      </c>
      <c r="E67" s="2" t="s">
        <v>90</v>
      </c>
      <c r="F67" s="2" t="s">
        <v>153</v>
      </c>
      <c r="G67" s="2">
        <v>10.0</v>
      </c>
      <c r="H67" s="2" t="s">
        <v>164</v>
      </c>
      <c r="I67" s="3">
        <v>45639.0</v>
      </c>
      <c r="J67" s="2">
        <v>1.0</v>
      </c>
      <c r="L67" s="21">
        <v>45853.0</v>
      </c>
      <c r="M67" s="3"/>
      <c r="N67" s="2"/>
      <c r="O67" s="2">
        <v>63.0</v>
      </c>
      <c r="P67" s="2">
        <v>76.0</v>
      </c>
      <c r="Q67" s="2">
        <v>34.0</v>
      </c>
      <c r="V67" s="2"/>
      <c r="W67" s="2"/>
      <c r="X67" s="2"/>
      <c r="Y67" s="2">
        <v>25.0</v>
      </c>
      <c r="Z67" s="12">
        <v>198.0</v>
      </c>
      <c r="AA67" s="5">
        <v>66.0</v>
      </c>
      <c r="AB67" s="2">
        <v>3.0</v>
      </c>
      <c r="AC67" s="6">
        <v>198.0</v>
      </c>
      <c r="AD67" s="2">
        <v>0.74137</v>
      </c>
      <c r="AE67" s="2">
        <v>0.02044</v>
      </c>
      <c r="AG67" s="2">
        <f t="shared" si="1"/>
        <v>0.02044</v>
      </c>
      <c r="AH67" s="8">
        <f t="shared" ref="AH67:AH68" si="9">AD67+AG67</f>
        <v>0.76181</v>
      </c>
    </row>
    <row r="68">
      <c r="A68" s="2">
        <v>1.0</v>
      </c>
      <c r="B68" s="2" t="s">
        <v>76</v>
      </c>
      <c r="C68" s="2" t="s">
        <v>83</v>
      </c>
      <c r="D68" s="2" t="s">
        <v>78</v>
      </c>
      <c r="E68" s="2" t="s">
        <v>90</v>
      </c>
      <c r="F68" s="2" t="s">
        <v>153</v>
      </c>
      <c r="G68" s="2">
        <v>11.0</v>
      </c>
      <c r="H68" s="2" t="s">
        <v>165</v>
      </c>
      <c r="I68" s="3">
        <v>45639.0</v>
      </c>
      <c r="J68" s="2">
        <v>1.0</v>
      </c>
      <c r="L68" s="21">
        <v>45852.0</v>
      </c>
      <c r="M68" s="3">
        <v>45860.0</v>
      </c>
      <c r="N68" s="2"/>
      <c r="O68" s="2">
        <v>134.0</v>
      </c>
      <c r="P68" s="2">
        <v>113.0</v>
      </c>
      <c r="Q68" s="2">
        <v>35.0</v>
      </c>
      <c r="R68" s="2">
        <v>123.0</v>
      </c>
      <c r="S68" s="2">
        <v>124.0</v>
      </c>
      <c r="T68" s="2">
        <v>110.0</v>
      </c>
      <c r="V68" s="2"/>
      <c r="W68" s="2"/>
      <c r="X68" s="2"/>
      <c r="Y68" s="2">
        <v>53.0</v>
      </c>
      <c r="Z68" s="12">
        <v>692.0</v>
      </c>
      <c r="AA68" s="5">
        <v>115.33333333333333</v>
      </c>
      <c r="AB68" s="2">
        <v>6.0</v>
      </c>
      <c r="AC68" s="6">
        <v>692.0</v>
      </c>
      <c r="AD68" s="2">
        <v>0.48757</v>
      </c>
      <c r="AE68" s="2">
        <v>0.06984</v>
      </c>
      <c r="AF68" s="2">
        <v>0.02124</v>
      </c>
      <c r="AG68" s="2">
        <f t="shared" si="1"/>
        <v>0.09108</v>
      </c>
      <c r="AH68" s="8">
        <f t="shared" si="9"/>
        <v>0.57865</v>
      </c>
    </row>
    <row r="69">
      <c r="A69" s="14">
        <v>1.0</v>
      </c>
      <c r="B69" s="14" t="s">
        <v>76</v>
      </c>
      <c r="C69" s="14" t="s">
        <v>83</v>
      </c>
      <c r="D69" s="14" t="s">
        <v>86</v>
      </c>
      <c r="E69" s="14" t="s">
        <v>90</v>
      </c>
      <c r="F69" s="14" t="s">
        <v>153</v>
      </c>
      <c r="G69" s="14">
        <v>12.0</v>
      </c>
      <c r="H69" s="14" t="s">
        <v>166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8"/>
      <c r="AB69" s="14" t="s">
        <v>82</v>
      </c>
      <c r="AC69" s="19"/>
      <c r="AD69" s="17"/>
      <c r="AE69" s="17"/>
      <c r="AF69" s="17"/>
      <c r="AG69" s="2">
        <f t="shared" si="1"/>
        <v>0</v>
      </c>
      <c r="AH69" s="17"/>
      <c r="AI69" s="14" t="s">
        <v>146</v>
      </c>
    </row>
    <row r="70">
      <c r="A70" s="14">
        <v>1.0</v>
      </c>
      <c r="B70" s="14" t="s">
        <v>76</v>
      </c>
      <c r="C70" s="14" t="s">
        <v>77</v>
      </c>
      <c r="D70" s="14" t="s">
        <v>78</v>
      </c>
      <c r="E70" s="14" t="s">
        <v>90</v>
      </c>
      <c r="F70" s="14" t="s">
        <v>153</v>
      </c>
      <c r="G70" s="14">
        <v>13.0</v>
      </c>
      <c r="H70" s="14" t="s">
        <v>167</v>
      </c>
      <c r="I70" s="15">
        <v>45639.0</v>
      </c>
      <c r="J70" s="14">
        <v>0.0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8"/>
      <c r="AB70" s="14" t="s">
        <v>82</v>
      </c>
      <c r="AC70" s="19"/>
      <c r="AD70" s="17"/>
      <c r="AE70" s="17"/>
      <c r="AF70" s="17"/>
      <c r="AG70" s="2">
        <f t="shared" si="1"/>
        <v>0</v>
      </c>
      <c r="AH70" s="17"/>
      <c r="AI70" s="14" t="s">
        <v>89</v>
      </c>
    </row>
    <row r="71">
      <c r="A71" s="14">
        <v>1.0</v>
      </c>
      <c r="B71" s="14" t="s">
        <v>76</v>
      </c>
      <c r="C71" s="14" t="s">
        <v>77</v>
      </c>
      <c r="D71" s="14" t="s">
        <v>78</v>
      </c>
      <c r="E71" s="14" t="s">
        <v>92</v>
      </c>
      <c r="F71" s="14" t="s">
        <v>153</v>
      </c>
      <c r="G71" s="14">
        <v>14.0</v>
      </c>
      <c r="H71" s="14" t="s">
        <v>168</v>
      </c>
      <c r="I71" s="15">
        <v>45639.0</v>
      </c>
      <c r="J71" s="14">
        <v>1.0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8"/>
      <c r="AB71" s="14" t="s">
        <v>82</v>
      </c>
      <c r="AC71" s="19"/>
      <c r="AD71" s="17"/>
      <c r="AE71" s="17"/>
      <c r="AF71" s="17"/>
      <c r="AG71" s="2">
        <f t="shared" si="1"/>
        <v>0</v>
      </c>
      <c r="AH71" s="17"/>
      <c r="AI71" s="14" t="s">
        <v>89</v>
      </c>
    </row>
    <row r="72">
      <c r="A72" s="2">
        <v>1.0</v>
      </c>
      <c r="B72" s="2" t="s">
        <v>76</v>
      </c>
      <c r="C72" s="2" t="s">
        <v>77</v>
      </c>
      <c r="D72" s="2" t="s">
        <v>78</v>
      </c>
      <c r="E72" s="2" t="s">
        <v>87</v>
      </c>
      <c r="F72" s="2" t="s">
        <v>169</v>
      </c>
      <c r="G72" s="2">
        <v>1.0</v>
      </c>
      <c r="H72" s="2" t="s">
        <v>170</v>
      </c>
      <c r="I72" s="3">
        <v>45639.0</v>
      </c>
      <c r="J72" s="2">
        <v>0.0</v>
      </c>
      <c r="K72" s="4">
        <v>45735.0</v>
      </c>
      <c r="AA72" s="5"/>
      <c r="AB72" s="2" t="s">
        <v>82</v>
      </c>
      <c r="AC72" s="6"/>
      <c r="AD72" s="2">
        <v>0.08073</v>
      </c>
      <c r="AG72" s="2">
        <f t="shared" si="1"/>
        <v>0</v>
      </c>
    </row>
    <row r="73">
      <c r="A73" s="14">
        <v>1.0</v>
      </c>
      <c r="B73" s="14" t="s">
        <v>76</v>
      </c>
      <c r="C73" s="14" t="s">
        <v>83</v>
      </c>
      <c r="D73" s="14" t="s">
        <v>86</v>
      </c>
      <c r="E73" s="14" t="s">
        <v>90</v>
      </c>
      <c r="F73" s="14" t="s">
        <v>169</v>
      </c>
      <c r="G73" s="14">
        <v>2.0</v>
      </c>
      <c r="H73" s="14" t="s">
        <v>171</v>
      </c>
      <c r="I73" s="16">
        <v>45735.0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8"/>
      <c r="AB73" s="14" t="s">
        <v>82</v>
      </c>
      <c r="AC73" s="19"/>
      <c r="AD73" s="17"/>
      <c r="AE73" s="17"/>
      <c r="AF73" s="17"/>
      <c r="AG73" s="2">
        <f t="shared" si="1"/>
        <v>0</v>
      </c>
      <c r="AH73" s="17"/>
      <c r="AI73" s="14" t="s">
        <v>89</v>
      </c>
    </row>
    <row r="74">
      <c r="A74" s="2">
        <v>1.0</v>
      </c>
      <c r="B74" s="2" t="s">
        <v>76</v>
      </c>
      <c r="C74" s="2" t="s">
        <v>83</v>
      </c>
      <c r="D74" s="2" t="s">
        <v>86</v>
      </c>
      <c r="E74" s="2" t="s">
        <v>79</v>
      </c>
      <c r="F74" s="2" t="s">
        <v>169</v>
      </c>
      <c r="G74" s="2">
        <v>3.0</v>
      </c>
      <c r="H74" s="2" t="s">
        <v>172</v>
      </c>
      <c r="I74" s="4">
        <v>45735.0</v>
      </c>
      <c r="L74" s="21">
        <v>45902.0</v>
      </c>
      <c r="O74" s="2">
        <v>39.0</v>
      </c>
      <c r="P74" s="2">
        <v>134.0</v>
      </c>
      <c r="Q74" s="2">
        <v>67.0</v>
      </c>
      <c r="AA74" s="5"/>
      <c r="AB74" s="2">
        <v>3.0</v>
      </c>
      <c r="AC74" s="6"/>
      <c r="AD74" s="2">
        <v>0.10055</v>
      </c>
      <c r="AE74" s="2">
        <v>0.00609</v>
      </c>
      <c r="AF74" s="2">
        <v>0.00114</v>
      </c>
      <c r="AG74" s="2">
        <f t="shared" si="1"/>
        <v>0.00723</v>
      </c>
      <c r="AH74" s="8">
        <f t="shared" ref="AH74:AH75" si="10">AD74+AG74</f>
        <v>0.10778</v>
      </c>
    </row>
    <row r="75">
      <c r="A75" s="2">
        <v>1.0</v>
      </c>
      <c r="B75" s="2" t="s">
        <v>76</v>
      </c>
      <c r="C75" s="2" t="s">
        <v>77</v>
      </c>
      <c r="D75" s="2" t="s">
        <v>86</v>
      </c>
      <c r="E75" s="2" t="s">
        <v>92</v>
      </c>
      <c r="F75" s="2" t="s">
        <v>169</v>
      </c>
      <c r="G75" s="2">
        <v>4.0</v>
      </c>
      <c r="H75" s="2" t="s">
        <v>173</v>
      </c>
      <c r="I75" s="3">
        <v>45639.0</v>
      </c>
      <c r="J75" s="2">
        <v>1.0</v>
      </c>
      <c r="L75" s="21">
        <v>45845.0</v>
      </c>
      <c r="M75" s="3"/>
      <c r="N75" s="2"/>
      <c r="O75" s="2">
        <v>42.0</v>
      </c>
      <c r="P75" s="2">
        <v>36.0</v>
      </c>
      <c r="Q75" s="2">
        <v>25.0</v>
      </c>
      <c r="R75" s="2">
        <v>47.0</v>
      </c>
      <c r="S75" s="2">
        <v>31.0</v>
      </c>
      <c r="T75" s="2">
        <v>60.0</v>
      </c>
      <c r="U75" s="29"/>
      <c r="V75" s="2"/>
      <c r="W75" s="2"/>
      <c r="X75" s="2"/>
      <c r="Y75" s="2">
        <v>47.0</v>
      </c>
      <c r="Z75" s="12">
        <v>288.0</v>
      </c>
      <c r="AA75" s="5">
        <v>41.142857142857146</v>
      </c>
      <c r="AB75" s="2">
        <v>7.0</v>
      </c>
      <c r="AC75" s="6">
        <v>288.0</v>
      </c>
      <c r="AD75" s="2">
        <v>0.53745</v>
      </c>
      <c r="AE75" s="2">
        <v>0.00709</v>
      </c>
      <c r="AG75" s="2">
        <f t="shared" si="1"/>
        <v>0.00709</v>
      </c>
      <c r="AH75" s="8">
        <f t="shared" si="10"/>
        <v>0.54454</v>
      </c>
      <c r="AI75" s="2" t="s">
        <v>162</v>
      </c>
    </row>
    <row r="76">
      <c r="A76" s="14">
        <v>1.0</v>
      </c>
      <c r="B76" s="14" t="s">
        <v>76</v>
      </c>
      <c r="C76" s="14" t="s">
        <v>77</v>
      </c>
      <c r="D76" s="14" t="s">
        <v>86</v>
      </c>
      <c r="E76" s="14" t="s">
        <v>79</v>
      </c>
      <c r="F76" s="14" t="s">
        <v>169</v>
      </c>
      <c r="G76" s="14">
        <v>5.0</v>
      </c>
      <c r="H76" s="14" t="s">
        <v>174</v>
      </c>
      <c r="I76" s="15">
        <v>45639.0</v>
      </c>
      <c r="J76" s="14">
        <v>1.0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8"/>
      <c r="AB76" s="14" t="s">
        <v>82</v>
      </c>
      <c r="AC76" s="19"/>
      <c r="AD76" s="14">
        <v>0.01434</v>
      </c>
      <c r="AE76" s="17"/>
      <c r="AF76" s="17"/>
      <c r="AG76" s="2">
        <f t="shared" si="1"/>
        <v>0</v>
      </c>
      <c r="AH76" s="17"/>
      <c r="AI76" s="14" t="s">
        <v>89</v>
      </c>
    </row>
    <row r="77">
      <c r="A77" s="14">
        <v>1.0</v>
      </c>
      <c r="B77" s="14" t="s">
        <v>76</v>
      </c>
      <c r="C77" s="14" t="s">
        <v>77</v>
      </c>
      <c r="D77" s="14" t="s">
        <v>78</v>
      </c>
      <c r="E77" s="14" t="s">
        <v>99</v>
      </c>
      <c r="F77" s="14" t="s">
        <v>169</v>
      </c>
      <c r="G77" s="14">
        <v>6.0</v>
      </c>
      <c r="H77" s="14" t="s">
        <v>175</v>
      </c>
      <c r="I77" s="15">
        <v>45639.0</v>
      </c>
      <c r="J77" s="14">
        <v>1.0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8"/>
      <c r="AB77" s="14" t="s">
        <v>82</v>
      </c>
      <c r="AC77" s="19"/>
      <c r="AD77" s="17"/>
      <c r="AE77" s="17"/>
      <c r="AF77" s="17"/>
      <c r="AG77" s="2">
        <f t="shared" si="1"/>
        <v>0</v>
      </c>
      <c r="AH77" s="17"/>
      <c r="AI77" s="14" t="s">
        <v>89</v>
      </c>
    </row>
    <row r="78">
      <c r="A78" s="14">
        <v>1.0</v>
      </c>
      <c r="B78" s="14" t="s">
        <v>76</v>
      </c>
      <c r="C78" s="14" t="s">
        <v>77</v>
      </c>
      <c r="D78" s="14" t="s">
        <v>78</v>
      </c>
      <c r="E78" s="14" t="s">
        <v>106</v>
      </c>
      <c r="F78" s="14" t="s">
        <v>169</v>
      </c>
      <c r="G78" s="14">
        <v>7.0</v>
      </c>
      <c r="H78" s="14" t="s">
        <v>176</v>
      </c>
      <c r="I78" s="15">
        <v>45639.0</v>
      </c>
      <c r="J78" s="14">
        <v>0.0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8"/>
      <c r="AB78" s="14" t="s">
        <v>82</v>
      </c>
      <c r="AC78" s="19"/>
      <c r="AD78" s="17"/>
      <c r="AE78" s="17"/>
      <c r="AF78" s="17"/>
      <c r="AG78" s="2">
        <f t="shared" si="1"/>
        <v>0</v>
      </c>
      <c r="AH78" s="17"/>
      <c r="AI78" s="14" t="s">
        <v>146</v>
      </c>
    </row>
    <row r="79">
      <c r="A79" s="2">
        <v>1.0</v>
      </c>
      <c r="B79" s="2" t="s">
        <v>76</v>
      </c>
      <c r="C79" s="2" t="s">
        <v>83</v>
      </c>
      <c r="D79" s="2" t="s">
        <v>78</v>
      </c>
      <c r="E79" s="2" t="s">
        <v>79</v>
      </c>
      <c r="F79" s="2" t="s">
        <v>169</v>
      </c>
      <c r="G79" s="2">
        <v>8.0</v>
      </c>
      <c r="H79" s="2" t="s">
        <v>177</v>
      </c>
      <c r="I79" s="3">
        <v>45639.0</v>
      </c>
      <c r="J79" s="2">
        <v>0.0</v>
      </c>
      <c r="K79" s="4">
        <v>45735.0</v>
      </c>
      <c r="L79" s="21">
        <v>45853.0</v>
      </c>
      <c r="M79" s="3"/>
      <c r="N79" s="2"/>
      <c r="O79" s="2">
        <v>68.0</v>
      </c>
      <c r="Z79" s="12">
        <v>68.0</v>
      </c>
      <c r="AA79" s="5">
        <v>68.0</v>
      </c>
      <c r="AB79" s="2">
        <v>1.0</v>
      </c>
      <c r="AC79" s="6">
        <v>68.0</v>
      </c>
      <c r="AD79" s="2">
        <v>0.00389</v>
      </c>
      <c r="AE79" s="2">
        <v>0.00541</v>
      </c>
      <c r="AG79" s="2">
        <f t="shared" si="1"/>
        <v>0.00541</v>
      </c>
      <c r="AH79" s="8">
        <f>AD79+AG79</f>
        <v>0.0093</v>
      </c>
      <c r="AI79" s="2" t="s">
        <v>178</v>
      </c>
    </row>
    <row r="80">
      <c r="A80" s="14">
        <v>1.0</v>
      </c>
      <c r="B80" s="14" t="s">
        <v>76</v>
      </c>
      <c r="C80" s="14" t="s">
        <v>77</v>
      </c>
      <c r="D80" s="14" t="s">
        <v>78</v>
      </c>
      <c r="E80" s="14" t="s">
        <v>79</v>
      </c>
      <c r="F80" s="14" t="s">
        <v>169</v>
      </c>
      <c r="G80" s="14">
        <v>9.0</v>
      </c>
      <c r="H80" s="14" t="s">
        <v>179</v>
      </c>
      <c r="I80" s="15">
        <v>45639.0</v>
      </c>
      <c r="J80" s="14">
        <v>0.0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8"/>
      <c r="AB80" s="14" t="s">
        <v>82</v>
      </c>
      <c r="AC80" s="19"/>
      <c r="AD80" s="14">
        <v>0.00489</v>
      </c>
      <c r="AE80" s="17"/>
      <c r="AF80" s="17"/>
      <c r="AG80" s="2">
        <f t="shared" si="1"/>
        <v>0</v>
      </c>
      <c r="AH80" s="17"/>
      <c r="AI80" s="14" t="s">
        <v>89</v>
      </c>
    </row>
    <row r="81">
      <c r="A81" s="2">
        <v>1.0</v>
      </c>
      <c r="B81" s="2" t="s">
        <v>76</v>
      </c>
      <c r="C81" s="2" t="s">
        <v>77</v>
      </c>
      <c r="D81" s="2" t="s">
        <v>78</v>
      </c>
      <c r="E81" s="2" t="s">
        <v>90</v>
      </c>
      <c r="F81" s="2" t="s">
        <v>169</v>
      </c>
      <c r="G81" s="2">
        <v>10.0</v>
      </c>
      <c r="H81" s="2" t="s">
        <v>180</v>
      </c>
      <c r="I81" s="3">
        <v>45639.0</v>
      </c>
      <c r="J81" s="2">
        <v>1.0</v>
      </c>
      <c r="L81" s="21">
        <v>45853.0</v>
      </c>
      <c r="M81" s="3"/>
      <c r="N81" s="2"/>
      <c r="O81" s="2">
        <v>30.0</v>
      </c>
      <c r="Z81" s="12">
        <v>30.0</v>
      </c>
      <c r="AA81" s="5">
        <v>30.0</v>
      </c>
      <c r="AB81" s="2">
        <v>1.0</v>
      </c>
      <c r="AC81" s="6">
        <v>30.0</v>
      </c>
      <c r="AD81" s="2">
        <v>0.66162</v>
      </c>
      <c r="AE81" s="2">
        <v>0.00792</v>
      </c>
      <c r="AG81" s="2">
        <f t="shared" si="1"/>
        <v>0.00792</v>
      </c>
      <c r="AH81" s="8">
        <f t="shared" ref="AH81:AH82" si="11">AD81+AG81</f>
        <v>0.66954</v>
      </c>
      <c r="AI81" s="2" t="s">
        <v>178</v>
      </c>
    </row>
    <row r="82">
      <c r="A82" s="2">
        <v>1.0</v>
      </c>
      <c r="B82" s="2" t="s">
        <v>76</v>
      </c>
      <c r="C82" s="2" t="s">
        <v>77</v>
      </c>
      <c r="D82" s="2" t="s">
        <v>86</v>
      </c>
      <c r="E82" s="2" t="s">
        <v>90</v>
      </c>
      <c r="F82" s="2" t="s">
        <v>169</v>
      </c>
      <c r="G82" s="2">
        <v>11.0</v>
      </c>
      <c r="H82" s="2" t="s">
        <v>181</v>
      </c>
      <c r="I82" s="3">
        <v>45639.0</v>
      </c>
      <c r="J82" s="2">
        <v>1.0</v>
      </c>
      <c r="L82" s="21">
        <v>45853.0</v>
      </c>
      <c r="M82" s="3"/>
      <c r="N82" s="2"/>
      <c r="O82" s="2">
        <v>63.0</v>
      </c>
      <c r="P82" s="2">
        <v>38.0</v>
      </c>
      <c r="Q82" s="2">
        <v>58.0</v>
      </c>
      <c r="Z82" s="12">
        <v>159.0</v>
      </c>
      <c r="AA82" s="5">
        <v>53.0</v>
      </c>
      <c r="AB82" s="2">
        <v>3.0</v>
      </c>
      <c r="AC82" s="6">
        <v>159.0</v>
      </c>
      <c r="AD82" s="2">
        <v>0.51765</v>
      </c>
      <c r="AE82" s="2">
        <v>0.06993</v>
      </c>
      <c r="AG82" s="2">
        <f t="shared" si="1"/>
        <v>0.06993</v>
      </c>
      <c r="AH82" s="8">
        <f t="shared" si="11"/>
        <v>0.58758</v>
      </c>
    </row>
    <row r="83">
      <c r="A83" s="14">
        <v>1.0</v>
      </c>
      <c r="B83" s="14" t="s">
        <v>76</v>
      </c>
      <c r="C83" s="14" t="s">
        <v>77</v>
      </c>
      <c r="D83" s="14" t="s">
        <v>78</v>
      </c>
      <c r="E83" s="14" t="s">
        <v>99</v>
      </c>
      <c r="F83" s="14" t="s">
        <v>169</v>
      </c>
      <c r="G83" s="14">
        <v>12.0</v>
      </c>
      <c r="H83" s="14" t="s">
        <v>182</v>
      </c>
      <c r="I83" s="15">
        <v>45639.0</v>
      </c>
      <c r="J83" s="14">
        <v>0.0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8"/>
      <c r="AB83" s="14" t="s">
        <v>82</v>
      </c>
      <c r="AC83" s="19"/>
      <c r="AD83" s="17"/>
      <c r="AE83" s="17"/>
      <c r="AF83" s="17"/>
      <c r="AG83" s="2">
        <f t="shared" si="1"/>
        <v>0</v>
      </c>
      <c r="AH83" s="17"/>
      <c r="AI83" s="14" t="s">
        <v>89</v>
      </c>
    </row>
    <row r="84">
      <c r="A84" s="14">
        <v>1.0</v>
      </c>
      <c r="B84" s="14" t="s">
        <v>76</v>
      </c>
      <c r="C84" s="14" t="s">
        <v>77</v>
      </c>
      <c r="D84" s="14" t="s">
        <v>78</v>
      </c>
      <c r="E84" s="14" t="s">
        <v>87</v>
      </c>
      <c r="F84" s="14" t="s">
        <v>169</v>
      </c>
      <c r="G84" s="14">
        <v>13.0</v>
      </c>
      <c r="H84" s="14" t="s">
        <v>183</v>
      </c>
      <c r="I84" s="15">
        <v>45639.0</v>
      </c>
      <c r="J84" s="14">
        <v>0.0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8"/>
      <c r="AB84" s="14" t="s">
        <v>82</v>
      </c>
      <c r="AC84" s="19"/>
      <c r="AD84" s="17"/>
      <c r="AE84" s="17"/>
      <c r="AF84" s="17"/>
      <c r="AG84" s="2">
        <f t="shared" si="1"/>
        <v>0</v>
      </c>
      <c r="AH84" s="17"/>
      <c r="AI84" s="14" t="s">
        <v>89</v>
      </c>
    </row>
    <row r="85">
      <c r="A85" s="14">
        <v>1.0</v>
      </c>
      <c r="B85" s="14" t="s">
        <v>76</v>
      </c>
      <c r="C85" s="14" t="s">
        <v>83</v>
      </c>
      <c r="D85" s="14" t="s">
        <v>86</v>
      </c>
      <c r="E85" s="14" t="s">
        <v>92</v>
      </c>
      <c r="F85" s="14" t="s">
        <v>169</v>
      </c>
      <c r="G85" s="14">
        <v>14.0</v>
      </c>
      <c r="H85" s="14" t="s">
        <v>184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8"/>
      <c r="AB85" s="14" t="s">
        <v>82</v>
      </c>
      <c r="AC85" s="30" t="s">
        <v>185</v>
      </c>
      <c r="AD85" s="17"/>
      <c r="AE85" s="17"/>
      <c r="AF85" s="17"/>
      <c r="AG85" s="2">
        <f t="shared" si="1"/>
        <v>0</v>
      </c>
      <c r="AH85" s="17"/>
      <c r="AI85" s="14" t="s">
        <v>146</v>
      </c>
    </row>
    <row r="86">
      <c r="A86" s="14">
        <v>1.0</v>
      </c>
      <c r="B86" s="14" t="s">
        <v>76</v>
      </c>
      <c r="C86" s="14" t="s">
        <v>83</v>
      </c>
      <c r="D86" s="14" t="s">
        <v>78</v>
      </c>
      <c r="E86" s="14" t="s">
        <v>79</v>
      </c>
      <c r="F86" s="14" t="s">
        <v>186</v>
      </c>
      <c r="G86" s="14">
        <v>1.0</v>
      </c>
      <c r="H86" s="14" t="s">
        <v>187</v>
      </c>
      <c r="I86" s="15">
        <v>45639.0</v>
      </c>
      <c r="J86" s="14">
        <v>0.0</v>
      </c>
      <c r="K86" s="16">
        <v>45735.0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8"/>
      <c r="AB86" s="14" t="s">
        <v>82</v>
      </c>
      <c r="AC86" s="19"/>
      <c r="AD86" s="31">
        <v>0.37376</v>
      </c>
      <c r="AE86" s="17"/>
      <c r="AF86" s="17"/>
      <c r="AG86" s="2">
        <f t="shared" si="1"/>
        <v>0</v>
      </c>
      <c r="AH86" s="17"/>
      <c r="AI86" s="14" t="s">
        <v>89</v>
      </c>
    </row>
    <row r="87">
      <c r="A87" s="2">
        <v>1.0</v>
      </c>
      <c r="B87" s="2" t="s">
        <v>76</v>
      </c>
      <c r="C87" s="2" t="s">
        <v>83</v>
      </c>
      <c r="D87" s="2" t="s">
        <v>78</v>
      </c>
      <c r="E87" s="2" t="s">
        <v>84</v>
      </c>
      <c r="F87" s="2" t="s">
        <v>186</v>
      </c>
      <c r="G87" s="2">
        <v>2.0</v>
      </c>
      <c r="H87" s="2" t="s">
        <v>188</v>
      </c>
      <c r="I87" s="3">
        <v>45639.0</v>
      </c>
      <c r="J87" s="2">
        <v>1.0</v>
      </c>
      <c r="L87" s="21">
        <v>45853.0</v>
      </c>
      <c r="M87" s="3"/>
      <c r="N87" s="2"/>
      <c r="O87" s="2">
        <v>110.0</v>
      </c>
      <c r="P87" s="2">
        <v>126.0</v>
      </c>
      <c r="Z87" s="12">
        <v>236.0</v>
      </c>
      <c r="AA87" s="5">
        <v>118.0</v>
      </c>
      <c r="AB87" s="2">
        <v>2.0</v>
      </c>
      <c r="AC87" s="6">
        <v>236.0</v>
      </c>
      <c r="AD87" s="2">
        <v>0.38125</v>
      </c>
      <c r="AE87" s="2">
        <v>6.6E-4</v>
      </c>
      <c r="AF87" s="2">
        <v>0.00259</v>
      </c>
      <c r="AG87" s="2">
        <f t="shared" si="1"/>
        <v>0.00325</v>
      </c>
      <c r="AH87" s="8">
        <f>AD87+AG87</f>
        <v>0.3845</v>
      </c>
    </row>
    <row r="88">
      <c r="A88" s="14">
        <v>1.0</v>
      </c>
      <c r="B88" s="14" t="s">
        <v>76</v>
      </c>
      <c r="C88" s="14" t="s">
        <v>77</v>
      </c>
      <c r="D88" s="14" t="s">
        <v>86</v>
      </c>
      <c r="E88" s="14" t="s">
        <v>87</v>
      </c>
      <c r="F88" s="14" t="s">
        <v>186</v>
      </c>
      <c r="G88" s="14">
        <v>3.0</v>
      </c>
      <c r="H88" s="14" t="s">
        <v>189</v>
      </c>
      <c r="I88" s="15">
        <v>45639.0</v>
      </c>
      <c r="J88" s="14">
        <v>0.0</v>
      </c>
      <c r="K88" s="16">
        <v>45735.0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8"/>
      <c r="AB88" s="14" t="s">
        <v>82</v>
      </c>
      <c r="AC88" s="19"/>
      <c r="AD88" s="17"/>
      <c r="AE88" s="17"/>
      <c r="AF88" s="17"/>
      <c r="AG88" s="2">
        <f t="shared" si="1"/>
        <v>0</v>
      </c>
      <c r="AH88" s="17"/>
      <c r="AI88" s="14" t="s">
        <v>89</v>
      </c>
    </row>
    <row r="89">
      <c r="A89" s="2">
        <v>1.0</v>
      </c>
      <c r="B89" s="2" t="s">
        <v>76</v>
      </c>
      <c r="C89" s="2" t="s">
        <v>77</v>
      </c>
      <c r="D89" s="2" t="s">
        <v>86</v>
      </c>
      <c r="E89" s="2" t="s">
        <v>84</v>
      </c>
      <c r="F89" s="2" t="s">
        <v>186</v>
      </c>
      <c r="G89" s="2">
        <v>4.0</v>
      </c>
      <c r="H89" s="2" t="s">
        <v>190</v>
      </c>
      <c r="I89" s="3">
        <v>45639.0</v>
      </c>
      <c r="J89" s="2">
        <v>1.0</v>
      </c>
      <c r="L89" s="21">
        <v>45845.0</v>
      </c>
      <c r="M89" s="3">
        <v>45853.0</v>
      </c>
      <c r="N89" s="2"/>
      <c r="O89" s="2">
        <v>84.0</v>
      </c>
      <c r="P89" s="2">
        <v>24.0</v>
      </c>
      <c r="Q89" s="2">
        <v>29.0</v>
      </c>
      <c r="R89" s="2">
        <v>51.0</v>
      </c>
      <c r="S89" s="2">
        <v>60.0</v>
      </c>
      <c r="T89" s="2">
        <v>61.0</v>
      </c>
      <c r="U89" s="2">
        <v>61.0</v>
      </c>
      <c r="Z89" s="12">
        <v>370.0</v>
      </c>
      <c r="AA89" s="5">
        <v>61.666666666666664</v>
      </c>
      <c r="AB89" s="2">
        <v>7.0</v>
      </c>
      <c r="AC89" s="6">
        <v>431.66666666666663</v>
      </c>
      <c r="AD89" s="2">
        <v>0.46638</v>
      </c>
      <c r="AE89" s="2">
        <v>0.02681</v>
      </c>
      <c r="AG89" s="2">
        <f t="shared" si="1"/>
        <v>0.02681</v>
      </c>
      <c r="AH89" s="8">
        <f t="shared" ref="AH89:AH90" si="12">AD89+AG89</f>
        <v>0.49319</v>
      </c>
    </row>
    <row r="90">
      <c r="A90" s="2">
        <v>1.0</v>
      </c>
      <c r="B90" s="2" t="s">
        <v>76</v>
      </c>
      <c r="C90" s="2" t="s">
        <v>77</v>
      </c>
      <c r="D90" s="2" t="s">
        <v>86</v>
      </c>
      <c r="E90" s="2" t="s">
        <v>106</v>
      </c>
      <c r="F90" s="2" t="s">
        <v>186</v>
      </c>
      <c r="G90" s="2">
        <v>5.0</v>
      </c>
      <c r="H90" s="2" t="s">
        <v>191</v>
      </c>
      <c r="I90" s="3">
        <v>45639.0</v>
      </c>
      <c r="J90" s="2">
        <v>0.0</v>
      </c>
      <c r="K90" s="4">
        <v>45735.0</v>
      </c>
      <c r="AA90" s="25"/>
      <c r="AB90" s="2" t="s">
        <v>82</v>
      </c>
      <c r="AC90" s="6"/>
      <c r="AD90" s="2">
        <v>0.07429</v>
      </c>
      <c r="AG90" s="2">
        <f t="shared" si="1"/>
        <v>0</v>
      </c>
      <c r="AH90" s="8">
        <f t="shared" si="12"/>
        <v>0.07429</v>
      </c>
    </row>
    <row r="91">
      <c r="A91" s="2">
        <v>1.0</v>
      </c>
      <c r="B91" s="2" t="s">
        <v>76</v>
      </c>
      <c r="C91" s="2" t="s">
        <v>77</v>
      </c>
      <c r="D91" s="2" t="s">
        <v>78</v>
      </c>
      <c r="E91" s="2" t="s">
        <v>87</v>
      </c>
      <c r="F91" s="2" t="s">
        <v>186</v>
      </c>
      <c r="G91" s="2">
        <v>6.0</v>
      </c>
      <c r="H91" s="2" t="s">
        <v>192</v>
      </c>
      <c r="I91" s="3">
        <v>45639.0</v>
      </c>
      <c r="J91" s="2">
        <v>0.0</v>
      </c>
      <c r="K91" s="4">
        <v>45735.0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AA91" s="25"/>
      <c r="AB91" s="2" t="s">
        <v>82</v>
      </c>
      <c r="AC91" s="6"/>
      <c r="AD91" s="2"/>
      <c r="AE91" s="2"/>
      <c r="AF91" s="2"/>
      <c r="AG91" s="2">
        <f t="shared" si="1"/>
        <v>0</v>
      </c>
      <c r="AH91" s="8"/>
      <c r="AI91" s="2" t="s">
        <v>193</v>
      </c>
    </row>
    <row r="92">
      <c r="A92" s="14">
        <v>1.0</v>
      </c>
      <c r="B92" s="14" t="s">
        <v>76</v>
      </c>
      <c r="C92" s="14" t="s">
        <v>77</v>
      </c>
      <c r="D92" s="14" t="s">
        <v>78</v>
      </c>
      <c r="E92" s="14" t="s">
        <v>84</v>
      </c>
      <c r="F92" s="14" t="s">
        <v>186</v>
      </c>
      <c r="G92" s="14">
        <v>7.0</v>
      </c>
      <c r="H92" s="14" t="s">
        <v>194</v>
      </c>
      <c r="I92" s="15">
        <v>45639.0</v>
      </c>
      <c r="J92" s="14">
        <v>0.0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27"/>
      <c r="AB92" s="14" t="s">
        <v>82</v>
      </c>
      <c r="AC92" s="19"/>
      <c r="AD92" s="31">
        <v>0.07826</v>
      </c>
      <c r="AE92" s="17"/>
      <c r="AF92" s="17"/>
      <c r="AG92" s="2">
        <f t="shared" si="1"/>
        <v>0</v>
      </c>
      <c r="AH92" s="8">
        <f>AD92+AG92</f>
        <v>0.07826</v>
      </c>
      <c r="AI92" s="14" t="s">
        <v>89</v>
      </c>
    </row>
    <row r="93">
      <c r="A93" s="14">
        <v>1.0</v>
      </c>
      <c r="B93" s="14" t="s">
        <v>76</v>
      </c>
      <c r="C93" s="14" t="s">
        <v>83</v>
      </c>
      <c r="D93" s="14" t="s">
        <v>86</v>
      </c>
      <c r="E93" s="14" t="s">
        <v>106</v>
      </c>
      <c r="F93" s="14" t="s">
        <v>186</v>
      </c>
      <c r="G93" s="14">
        <v>8.0</v>
      </c>
      <c r="H93" s="14" t="s">
        <v>195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27"/>
      <c r="AB93" s="14" t="s">
        <v>82</v>
      </c>
      <c r="AC93" s="19"/>
      <c r="AD93" s="17"/>
      <c r="AE93" s="17"/>
      <c r="AF93" s="17"/>
      <c r="AG93" s="2">
        <f t="shared" si="1"/>
        <v>0</v>
      </c>
      <c r="AH93" s="8"/>
      <c r="AI93" s="14" t="s">
        <v>146</v>
      </c>
    </row>
    <row r="94">
      <c r="A94" s="14">
        <v>1.0</v>
      </c>
      <c r="B94" s="14" t="s">
        <v>76</v>
      </c>
      <c r="C94" s="14" t="s">
        <v>83</v>
      </c>
      <c r="D94" s="14" t="s">
        <v>86</v>
      </c>
      <c r="E94" s="14" t="s">
        <v>79</v>
      </c>
      <c r="F94" s="14" t="s">
        <v>186</v>
      </c>
      <c r="G94" s="14">
        <v>9.0</v>
      </c>
      <c r="H94" s="14" t="s">
        <v>196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27"/>
      <c r="AB94" s="14" t="s">
        <v>82</v>
      </c>
      <c r="AC94" s="19"/>
      <c r="AD94" s="17"/>
      <c r="AE94" s="17"/>
      <c r="AF94" s="17"/>
      <c r="AG94" s="2">
        <f t="shared" si="1"/>
        <v>0</v>
      </c>
      <c r="AH94" s="8"/>
      <c r="AI94" s="14" t="s">
        <v>146</v>
      </c>
    </row>
    <row r="95">
      <c r="A95" s="14">
        <v>1.0</v>
      </c>
      <c r="B95" s="14" t="s">
        <v>76</v>
      </c>
      <c r="C95" s="14" t="s">
        <v>77</v>
      </c>
      <c r="D95" s="14" t="s">
        <v>86</v>
      </c>
      <c r="E95" s="14" t="s">
        <v>87</v>
      </c>
      <c r="F95" s="14" t="s">
        <v>186</v>
      </c>
      <c r="G95" s="14">
        <v>10.0</v>
      </c>
      <c r="H95" s="14" t="s">
        <v>197</v>
      </c>
      <c r="I95" s="15">
        <v>45639.0</v>
      </c>
      <c r="J95" s="14">
        <v>1.0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27"/>
      <c r="AB95" s="14" t="s">
        <v>82</v>
      </c>
      <c r="AC95" s="19"/>
      <c r="AD95" s="17"/>
      <c r="AE95" s="17"/>
      <c r="AF95" s="17"/>
      <c r="AG95" s="2">
        <f t="shared" si="1"/>
        <v>0</v>
      </c>
      <c r="AH95" s="8"/>
      <c r="AI95" s="14" t="s">
        <v>89</v>
      </c>
    </row>
    <row r="96">
      <c r="A96" s="2">
        <v>1.0</v>
      </c>
      <c r="B96" s="2" t="s">
        <v>76</v>
      </c>
      <c r="C96" s="2" t="s">
        <v>83</v>
      </c>
      <c r="D96" s="2" t="s">
        <v>78</v>
      </c>
      <c r="E96" s="2" t="s">
        <v>106</v>
      </c>
      <c r="F96" s="2" t="s">
        <v>186</v>
      </c>
      <c r="G96" s="2">
        <v>11.0</v>
      </c>
      <c r="H96" s="2" t="s">
        <v>198</v>
      </c>
      <c r="I96" s="3">
        <v>45639.0</v>
      </c>
      <c r="J96" s="2">
        <v>1.0</v>
      </c>
      <c r="AA96" s="25"/>
      <c r="AB96" s="2" t="s">
        <v>82</v>
      </c>
      <c r="AC96" s="6"/>
      <c r="AD96" s="2">
        <v>0.1218</v>
      </c>
      <c r="AG96" s="2">
        <f t="shared" si="1"/>
        <v>0</v>
      </c>
      <c r="AH96" s="8">
        <f t="shared" ref="AH96:AH98" si="13">AD96+AG96</f>
        <v>0.1218</v>
      </c>
    </row>
    <row r="97">
      <c r="A97" s="2">
        <v>1.0</v>
      </c>
      <c r="B97" s="2" t="s">
        <v>76</v>
      </c>
      <c r="C97" s="2" t="s">
        <v>77</v>
      </c>
      <c r="D97" s="2" t="s">
        <v>78</v>
      </c>
      <c r="E97" s="2" t="s">
        <v>84</v>
      </c>
      <c r="F97" s="2" t="s">
        <v>186</v>
      </c>
      <c r="G97" s="2">
        <v>12.0</v>
      </c>
      <c r="H97" s="2" t="s">
        <v>199</v>
      </c>
      <c r="I97" s="3">
        <v>45639.0</v>
      </c>
      <c r="J97" s="2">
        <v>1.0</v>
      </c>
      <c r="AA97" s="25"/>
      <c r="AB97" s="2" t="s">
        <v>82</v>
      </c>
      <c r="AC97" s="6"/>
      <c r="AD97" s="2">
        <v>0.05665</v>
      </c>
      <c r="AG97" s="2">
        <f t="shared" si="1"/>
        <v>0</v>
      </c>
      <c r="AH97" s="8">
        <f t="shared" si="13"/>
        <v>0.05665</v>
      </c>
    </row>
    <row r="98">
      <c r="A98" s="2">
        <v>1.0</v>
      </c>
      <c r="B98" s="2" t="s">
        <v>76</v>
      </c>
      <c r="C98" s="2" t="s">
        <v>77</v>
      </c>
      <c r="D98" s="2" t="s">
        <v>86</v>
      </c>
      <c r="E98" s="2" t="s">
        <v>79</v>
      </c>
      <c r="F98" s="2" t="s">
        <v>186</v>
      </c>
      <c r="G98" s="2">
        <v>13.0</v>
      </c>
      <c r="H98" s="2" t="s">
        <v>200</v>
      </c>
      <c r="I98" s="3">
        <v>45639.0</v>
      </c>
      <c r="J98" s="2">
        <v>1.0</v>
      </c>
      <c r="AA98" s="25"/>
      <c r="AB98" s="2" t="s">
        <v>82</v>
      </c>
      <c r="AC98" s="6"/>
      <c r="AD98" s="2">
        <v>0.06216</v>
      </c>
      <c r="AG98" s="2">
        <f t="shared" si="1"/>
        <v>0</v>
      </c>
      <c r="AH98" s="8">
        <f t="shared" si="13"/>
        <v>0.06216</v>
      </c>
    </row>
    <row r="99">
      <c r="A99" s="14">
        <v>1.0</v>
      </c>
      <c r="B99" s="14" t="s">
        <v>76</v>
      </c>
      <c r="C99" s="14" t="s">
        <v>83</v>
      </c>
      <c r="D99" s="14" t="s">
        <v>86</v>
      </c>
      <c r="E99" s="14" t="s">
        <v>92</v>
      </c>
      <c r="F99" s="14" t="s">
        <v>186</v>
      </c>
      <c r="G99" s="14">
        <v>14.0</v>
      </c>
      <c r="H99" s="14" t="s">
        <v>201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27"/>
      <c r="AB99" s="14" t="s">
        <v>82</v>
      </c>
      <c r="AC99" s="30" t="s">
        <v>185</v>
      </c>
      <c r="AD99" s="17"/>
      <c r="AE99" s="17"/>
      <c r="AF99" s="17"/>
      <c r="AG99" s="2">
        <f t="shared" si="1"/>
        <v>0</v>
      </c>
      <c r="AH99" s="8"/>
      <c r="AI99" s="14" t="s">
        <v>146</v>
      </c>
    </row>
    <row r="100">
      <c r="A100" s="14">
        <v>2.0</v>
      </c>
      <c r="B100" s="14" t="s">
        <v>76</v>
      </c>
      <c r="C100" s="14" t="s">
        <v>83</v>
      </c>
      <c r="D100" s="14" t="s">
        <v>86</v>
      </c>
      <c r="E100" s="14" t="s">
        <v>79</v>
      </c>
      <c r="F100" s="14" t="s">
        <v>80</v>
      </c>
      <c r="G100" s="14">
        <v>1.0</v>
      </c>
      <c r="H100" s="14" t="s">
        <v>81</v>
      </c>
      <c r="I100" s="15">
        <v>45684.0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27"/>
      <c r="AB100" s="14" t="s">
        <v>82</v>
      </c>
      <c r="AC100" s="19"/>
      <c r="AD100" s="17"/>
      <c r="AE100" s="17"/>
      <c r="AF100" s="17"/>
      <c r="AG100" s="2">
        <f t="shared" si="1"/>
        <v>0</v>
      </c>
      <c r="AH100" s="8"/>
      <c r="AI100" s="14" t="s">
        <v>89</v>
      </c>
    </row>
    <row r="101">
      <c r="A101" s="2">
        <v>2.0</v>
      </c>
      <c r="B101" s="2" t="s">
        <v>76</v>
      </c>
      <c r="C101" s="2" t="s">
        <v>83</v>
      </c>
      <c r="D101" s="2" t="s">
        <v>78</v>
      </c>
      <c r="E101" s="2" t="s">
        <v>106</v>
      </c>
      <c r="F101" s="2" t="s">
        <v>80</v>
      </c>
      <c r="G101" s="2">
        <v>2.0</v>
      </c>
      <c r="H101" s="2" t="s">
        <v>85</v>
      </c>
      <c r="I101" s="3">
        <v>45684.0</v>
      </c>
      <c r="AA101" s="25"/>
      <c r="AB101" s="2" t="s">
        <v>82</v>
      </c>
      <c r="AC101" s="6"/>
      <c r="AD101" s="2">
        <v>0.15945</v>
      </c>
      <c r="AG101" s="2">
        <f t="shared" si="1"/>
        <v>0</v>
      </c>
      <c r="AH101" s="8">
        <f>AD101+AG101</f>
        <v>0.15945</v>
      </c>
    </row>
    <row r="102">
      <c r="A102" s="14">
        <v>2.0</v>
      </c>
      <c r="B102" s="14" t="s">
        <v>76</v>
      </c>
      <c r="C102" s="14" t="s">
        <v>83</v>
      </c>
      <c r="D102" s="14" t="s">
        <v>86</v>
      </c>
      <c r="E102" s="14" t="s">
        <v>84</v>
      </c>
      <c r="F102" s="14" t="s">
        <v>80</v>
      </c>
      <c r="G102" s="14">
        <v>3.0</v>
      </c>
      <c r="H102" s="14" t="s">
        <v>88</v>
      </c>
      <c r="I102" s="15">
        <v>45684.0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27"/>
      <c r="AB102" s="14" t="s">
        <v>82</v>
      </c>
      <c r="AC102" s="19"/>
      <c r="AD102" s="17"/>
      <c r="AE102" s="17"/>
      <c r="AF102" s="17"/>
      <c r="AG102" s="2">
        <f t="shared" si="1"/>
        <v>0</v>
      </c>
      <c r="AH102" s="8"/>
      <c r="AI102" s="14" t="s">
        <v>89</v>
      </c>
    </row>
    <row r="103">
      <c r="A103" s="2">
        <v>2.0</v>
      </c>
      <c r="B103" s="2" t="s">
        <v>76</v>
      </c>
      <c r="C103" s="2" t="s">
        <v>77</v>
      </c>
      <c r="D103" s="2" t="s">
        <v>86</v>
      </c>
      <c r="E103" s="2" t="s">
        <v>106</v>
      </c>
      <c r="F103" s="2" t="s">
        <v>80</v>
      </c>
      <c r="G103" s="2">
        <v>4.0</v>
      </c>
      <c r="H103" s="2" t="s">
        <v>91</v>
      </c>
      <c r="I103" s="3">
        <v>45684.0</v>
      </c>
      <c r="AA103" s="25"/>
      <c r="AB103" s="2" t="s">
        <v>82</v>
      </c>
      <c r="AC103" s="6"/>
      <c r="AD103" s="2">
        <v>0.18892</v>
      </c>
      <c r="AG103" s="2">
        <f t="shared" si="1"/>
        <v>0</v>
      </c>
      <c r="AH103" s="8">
        <f>AD103+AG103</f>
        <v>0.18892</v>
      </c>
    </row>
    <row r="104">
      <c r="A104" s="14">
        <v>2.0</v>
      </c>
      <c r="B104" s="14" t="s">
        <v>76</v>
      </c>
      <c r="C104" s="14" t="s">
        <v>83</v>
      </c>
      <c r="D104" s="14" t="s">
        <v>78</v>
      </c>
      <c r="E104" s="14" t="s">
        <v>79</v>
      </c>
      <c r="F104" s="14" t="s">
        <v>80</v>
      </c>
      <c r="G104" s="14">
        <v>5.0</v>
      </c>
      <c r="H104" s="14" t="s">
        <v>93</v>
      </c>
      <c r="I104" s="15">
        <v>45684.0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27"/>
      <c r="AB104" s="14" t="s">
        <v>82</v>
      </c>
      <c r="AC104" s="19"/>
      <c r="AD104" s="17"/>
      <c r="AE104" s="17"/>
      <c r="AF104" s="17"/>
      <c r="AG104" s="2">
        <f t="shared" si="1"/>
        <v>0</v>
      </c>
      <c r="AH104" s="8"/>
      <c r="AI104" s="14" t="s">
        <v>89</v>
      </c>
    </row>
    <row r="105">
      <c r="A105" s="14">
        <v>2.0</v>
      </c>
      <c r="B105" s="14" t="s">
        <v>76</v>
      </c>
      <c r="C105" s="14" t="s">
        <v>83</v>
      </c>
      <c r="D105" s="14" t="s">
        <v>86</v>
      </c>
      <c r="E105" s="14" t="s">
        <v>84</v>
      </c>
      <c r="F105" s="14" t="s">
        <v>80</v>
      </c>
      <c r="G105" s="14">
        <v>6.0</v>
      </c>
      <c r="H105" s="14" t="s">
        <v>94</v>
      </c>
      <c r="I105" s="15">
        <v>45684.0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27"/>
      <c r="AB105" s="14" t="s">
        <v>82</v>
      </c>
      <c r="AC105" s="19"/>
      <c r="AD105" s="17"/>
      <c r="AE105" s="17"/>
      <c r="AF105" s="17"/>
      <c r="AG105" s="2">
        <f t="shared" si="1"/>
        <v>0</v>
      </c>
      <c r="AH105" s="8"/>
      <c r="AI105" s="14" t="s">
        <v>89</v>
      </c>
    </row>
    <row r="106">
      <c r="A106" s="14">
        <v>2.0</v>
      </c>
      <c r="B106" s="14" t="s">
        <v>76</v>
      </c>
      <c r="C106" s="14" t="s">
        <v>83</v>
      </c>
      <c r="D106" s="14" t="s">
        <v>86</v>
      </c>
      <c r="E106" s="14" t="s">
        <v>87</v>
      </c>
      <c r="F106" s="14" t="s">
        <v>80</v>
      </c>
      <c r="G106" s="14">
        <v>7.0</v>
      </c>
      <c r="H106" s="14" t="s">
        <v>95</v>
      </c>
      <c r="I106" s="15">
        <v>45684.0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27"/>
      <c r="AB106" s="14" t="s">
        <v>82</v>
      </c>
      <c r="AC106" s="19"/>
      <c r="AD106" s="17"/>
      <c r="AE106" s="17"/>
      <c r="AF106" s="17"/>
      <c r="AG106" s="2">
        <f t="shared" si="1"/>
        <v>0</v>
      </c>
      <c r="AH106" s="8"/>
      <c r="AI106" s="14" t="s">
        <v>89</v>
      </c>
    </row>
    <row r="107">
      <c r="A107" s="2">
        <v>2.0</v>
      </c>
      <c r="B107" s="2" t="s">
        <v>76</v>
      </c>
      <c r="C107" s="2" t="s">
        <v>83</v>
      </c>
      <c r="D107" s="2" t="s">
        <v>78</v>
      </c>
      <c r="E107" s="2" t="s">
        <v>90</v>
      </c>
      <c r="F107" s="2" t="s">
        <v>80</v>
      </c>
      <c r="G107" s="2">
        <v>8.0</v>
      </c>
      <c r="H107" s="2" t="s">
        <v>96</v>
      </c>
      <c r="I107" s="3">
        <v>45684.0</v>
      </c>
      <c r="L107" s="3">
        <v>45854.0</v>
      </c>
      <c r="M107" s="3">
        <v>45860.0</v>
      </c>
      <c r="N107" s="2"/>
      <c r="O107" s="2">
        <v>123.0</v>
      </c>
      <c r="P107" s="2">
        <v>142.0</v>
      </c>
      <c r="Z107" s="12">
        <f>sum(O107:Y107)</f>
        <v>265</v>
      </c>
      <c r="AA107" s="25" t="str">
        <f>Z107/#REF!</f>
        <v>#REF!</v>
      </c>
      <c r="AB107" s="2">
        <v>2.0</v>
      </c>
      <c r="AC107" s="6" t="str">
        <f>AA107*AB107</f>
        <v>#REF!</v>
      </c>
      <c r="AD107" s="2">
        <v>0.40446</v>
      </c>
      <c r="AE107" s="2">
        <v>0.02848</v>
      </c>
      <c r="AG107" s="2">
        <f t="shared" si="1"/>
        <v>0.02848</v>
      </c>
      <c r="AH107" s="8">
        <f>AD107+AG107</f>
        <v>0.43294</v>
      </c>
      <c r="AI107" s="2" t="s">
        <v>202</v>
      </c>
    </row>
    <row r="108">
      <c r="A108" s="14">
        <v>2.0</v>
      </c>
      <c r="B108" s="14" t="s">
        <v>76</v>
      </c>
      <c r="C108" s="14" t="s">
        <v>83</v>
      </c>
      <c r="D108" s="14" t="s">
        <v>78</v>
      </c>
      <c r="E108" s="14" t="s">
        <v>87</v>
      </c>
      <c r="F108" s="14" t="s">
        <v>80</v>
      </c>
      <c r="G108" s="14">
        <v>9.0</v>
      </c>
      <c r="H108" s="14" t="s">
        <v>97</v>
      </c>
      <c r="I108" s="15">
        <v>45684.0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27"/>
      <c r="AB108" s="14" t="s">
        <v>82</v>
      </c>
      <c r="AC108" s="19"/>
      <c r="AD108" s="17"/>
      <c r="AE108" s="17"/>
      <c r="AF108" s="17"/>
      <c r="AG108" s="2">
        <f t="shared" si="1"/>
        <v>0</v>
      </c>
      <c r="AH108" s="8"/>
      <c r="AI108" s="14" t="s">
        <v>89</v>
      </c>
    </row>
    <row r="109">
      <c r="A109" s="14">
        <v>2.0</v>
      </c>
      <c r="B109" s="14" t="s">
        <v>76</v>
      </c>
      <c r="C109" s="14" t="s">
        <v>77</v>
      </c>
      <c r="D109" s="14" t="s">
        <v>78</v>
      </c>
      <c r="E109" s="14" t="s">
        <v>87</v>
      </c>
      <c r="F109" s="14" t="s">
        <v>80</v>
      </c>
      <c r="G109" s="14">
        <v>10.0</v>
      </c>
      <c r="H109" s="14" t="s">
        <v>98</v>
      </c>
      <c r="I109" s="15">
        <v>45684.0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27"/>
      <c r="AB109" s="14" t="s">
        <v>82</v>
      </c>
      <c r="AC109" s="19"/>
      <c r="AD109" s="17"/>
      <c r="AE109" s="17"/>
      <c r="AF109" s="17"/>
      <c r="AG109" s="2">
        <f t="shared" si="1"/>
        <v>0</v>
      </c>
      <c r="AH109" s="8"/>
      <c r="AI109" s="14" t="s">
        <v>89</v>
      </c>
    </row>
    <row r="110">
      <c r="A110" s="14">
        <v>2.0</v>
      </c>
      <c r="B110" s="14" t="s">
        <v>76</v>
      </c>
      <c r="C110" s="14" t="s">
        <v>77</v>
      </c>
      <c r="D110" s="14" t="s">
        <v>78</v>
      </c>
      <c r="E110" s="14" t="s">
        <v>92</v>
      </c>
      <c r="F110" s="14" t="s">
        <v>80</v>
      </c>
      <c r="G110" s="14">
        <v>11.0</v>
      </c>
      <c r="H110" s="14" t="s">
        <v>100</v>
      </c>
      <c r="I110" s="15">
        <v>45684.0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27"/>
      <c r="AB110" s="14" t="s">
        <v>82</v>
      </c>
      <c r="AC110" s="19"/>
      <c r="AD110" s="17"/>
      <c r="AE110" s="17"/>
      <c r="AF110" s="17"/>
      <c r="AG110" s="2">
        <f t="shared" si="1"/>
        <v>0</v>
      </c>
      <c r="AH110" s="8"/>
      <c r="AI110" s="14" t="s">
        <v>89</v>
      </c>
    </row>
    <row r="111">
      <c r="A111" s="14">
        <v>2.0</v>
      </c>
      <c r="B111" s="14" t="s">
        <v>76</v>
      </c>
      <c r="C111" s="14" t="s">
        <v>83</v>
      </c>
      <c r="D111" s="14" t="s">
        <v>78</v>
      </c>
      <c r="E111" s="14" t="s">
        <v>84</v>
      </c>
      <c r="F111" s="14" t="s">
        <v>80</v>
      </c>
      <c r="G111" s="14">
        <v>12.0</v>
      </c>
      <c r="H111" s="14" t="s">
        <v>101</v>
      </c>
      <c r="I111" s="15">
        <v>45684.0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27"/>
      <c r="AB111" s="14" t="s">
        <v>82</v>
      </c>
      <c r="AC111" s="19"/>
      <c r="AD111" s="17"/>
      <c r="AE111" s="17"/>
      <c r="AF111" s="17"/>
      <c r="AG111" s="2">
        <f t="shared" si="1"/>
        <v>0</v>
      </c>
      <c r="AH111" s="8"/>
      <c r="AI111" s="14" t="s">
        <v>89</v>
      </c>
    </row>
    <row r="112">
      <c r="A112" s="14">
        <v>2.0</v>
      </c>
      <c r="B112" s="14" t="s">
        <v>76</v>
      </c>
      <c r="C112" s="14" t="s">
        <v>83</v>
      </c>
      <c r="D112" s="14" t="s">
        <v>86</v>
      </c>
      <c r="E112" s="14" t="s">
        <v>92</v>
      </c>
      <c r="F112" s="14" t="s">
        <v>80</v>
      </c>
      <c r="G112" s="14">
        <v>13.0</v>
      </c>
      <c r="H112" s="14" t="s">
        <v>102</v>
      </c>
      <c r="I112" s="15">
        <v>45684.0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27"/>
      <c r="AB112" s="14" t="s">
        <v>82</v>
      </c>
      <c r="AC112" s="19"/>
      <c r="AD112" s="17"/>
      <c r="AE112" s="17"/>
      <c r="AF112" s="17"/>
      <c r="AG112" s="2">
        <f t="shared" si="1"/>
        <v>0</v>
      </c>
      <c r="AH112" s="8"/>
      <c r="AI112" s="14" t="s">
        <v>89</v>
      </c>
    </row>
    <row r="113">
      <c r="A113" s="14">
        <v>2.0</v>
      </c>
      <c r="B113" s="14" t="s">
        <v>76</v>
      </c>
      <c r="C113" s="14" t="s">
        <v>83</v>
      </c>
      <c r="D113" s="14" t="s">
        <v>78</v>
      </c>
      <c r="E113" s="14" t="s">
        <v>92</v>
      </c>
      <c r="F113" s="14" t="s">
        <v>80</v>
      </c>
      <c r="G113" s="14">
        <v>14.0</v>
      </c>
      <c r="H113" s="14" t="s">
        <v>103</v>
      </c>
      <c r="I113" s="15">
        <v>45684.0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27"/>
      <c r="AB113" s="14" t="s">
        <v>82</v>
      </c>
      <c r="AC113" s="19"/>
      <c r="AD113" s="17"/>
      <c r="AE113" s="17"/>
      <c r="AF113" s="17"/>
      <c r="AG113" s="2">
        <f t="shared" si="1"/>
        <v>0</v>
      </c>
      <c r="AH113" s="8"/>
      <c r="AI113" s="14" t="s">
        <v>89</v>
      </c>
    </row>
    <row r="114">
      <c r="A114" s="2">
        <v>2.0</v>
      </c>
      <c r="B114" s="2" t="s">
        <v>76</v>
      </c>
      <c r="C114" s="2" t="s">
        <v>77</v>
      </c>
      <c r="D114" s="2" t="s">
        <v>86</v>
      </c>
      <c r="E114" s="2" t="s">
        <v>90</v>
      </c>
      <c r="F114" s="2" t="s">
        <v>104</v>
      </c>
      <c r="G114" s="2">
        <v>1.0</v>
      </c>
      <c r="H114" s="2" t="s">
        <v>105</v>
      </c>
      <c r="I114" s="3">
        <v>45684.0</v>
      </c>
      <c r="J114" s="2">
        <v>1.0</v>
      </c>
      <c r="K114" s="4"/>
      <c r="L114" s="3">
        <v>45852.0</v>
      </c>
      <c r="M114" s="3"/>
      <c r="N114" s="2"/>
      <c r="O114" s="2">
        <v>78.0</v>
      </c>
      <c r="P114" s="2">
        <v>56.0</v>
      </c>
      <c r="Z114" s="12">
        <f t="shared" ref="Z114:Z115" si="14">sum(O114:Y114)</f>
        <v>134</v>
      </c>
      <c r="AA114" s="25" t="str">
        <f t="shared" ref="AA114:AA115" si="15">Z114/#REF!</f>
        <v>#REF!</v>
      </c>
      <c r="AB114" s="2">
        <v>2.0</v>
      </c>
      <c r="AC114" s="6" t="str">
        <f>AA114*AB114</f>
        <v>#REF!</v>
      </c>
      <c r="AD114" s="2">
        <v>0.41775</v>
      </c>
      <c r="AE114" s="2">
        <v>0.01212</v>
      </c>
      <c r="AG114" s="2">
        <f t="shared" si="1"/>
        <v>0.01212</v>
      </c>
      <c r="AH114" s="8">
        <f t="shared" ref="AH114:AH116" si="16">AD114+AG114</f>
        <v>0.42987</v>
      </c>
    </row>
    <row r="115">
      <c r="A115" s="2">
        <v>2.0</v>
      </c>
      <c r="B115" s="2" t="s">
        <v>76</v>
      </c>
      <c r="C115" s="2" t="s">
        <v>83</v>
      </c>
      <c r="D115" s="2" t="s">
        <v>78</v>
      </c>
      <c r="E115" s="2" t="s">
        <v>99</v>
      </c>
      <c r="F115" s="2" t="s">
        <v>104</v>
      </c>
      <c r="G115" s="2">
        <v>2.0</v>
      </c>
      <c r="H115" s="2" t="s">
        <v>107</v>
      </c>
      <c r="I115" s="3">
        <v>45684.0</v>
      </c>
      <c r="L115" s="3">
        <v>45860.0</v>
      </c>
      <c r="O115" s="2">
        <v>110.0</v>
      </c>
      <c r="P115" s="2">
        <v>134.0</v>
      </c>
      <c r="Z115" s="12">
        <f t="shared" si="14"/>
        <v>244</v>
      </c>
      <c r="AA115" s="25" t="str">
        <f t="shared" si="15"/>
        <v>#REF!</v>
      </c>
      <c r="AB115" s="2">
        <v>2.0</v>
      </c>
      <c r="AC115" s="6"/>
      <c r="AD115" s="2">
        <v>0.31897</v>
      </c>
      <c r="AE115" s="2">
        <v>0.02877</v>
      </c>
      <c r="AG115" s="2">
        <f t="shared" si="1"/>
        <v>0.02877</v>
      </c>
      <c r="AH115" s="8">
        <f t="shared" si="16"/>
        <v>0.34774</v>
      </c>
    </row>
    <row r="116">
      <c r="A116" s="2">
        <v>2.0</v>
      </c>
      <c r="B116" s="2" t="s">
        <v>76</v>
      </c>
      <c r="C116" s="2" t="s">
        <v>77</v>
      </c>
      <c r="D116" s="2" t="s">
        <v>78</v>
      </c>
      <c r="E116" s="2" t="s">
        <v>106</v>
      </c>
      <c r="F116" s="2" t="s">
        <v>104</v>
      </c>
      <c r="G116" s="2">
        <v>3.0</v>
      </c>
      <c r="H116" s="2" t="s">
        <v>108</v>
      </c>
      <c r="I116" s="3">
        <v>45684.0</v>
      </c>
      <c r="AA116" s="25"/>
      <c r="AB116" s="2" t="s">
        <v>82</v>
      </c>
      <c r="AC116" s="6"/>
      <c r="AD116" s="2">
        <v>0.18614</v>
      </c>
      <c r="AG116" s="2">
        <f t="shared" si="1"/>
        <v>0</v>
      </c>
      <c r="AH116" s="8">
        <f t="shared" si="16"/>
        <v>0.18614</v>
      </c>
    </row>
    <row r="117">
      <c r="A117" s="14">
        <v>2.0</v>
      </c>
      <c r="B117" s="14" t="s">
        <v>76</v>
      </c>
      <c r="C117" s="14" t="s">
        <v>83</v>
      </c>
      <c r="D117" s="14" t="s">
        <v>86</v>
      </c>
      <c r="E117" s="14" t="s">
        <v>79</v>
      </c>
      <c r="F117" s="14" t="s">
        <v>104</v>
      </c>
      <c r="G117" s="14">
        <v>4.0</v>
      </c>
      <c r="H117" s="14" t="s">
        <v>109</v>
      </c>
      <c r="I117" s="15">
        <v>45684.0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27"/>
      <c r="AB117" s="14" t="s">
        <v>82</v>
      </c>
      <c r="AC117" s="19"/>
      <c r="AD117" s="17"/>
      <c r="AE117" s="17"/>
      <c r="AF117" s="17"/>
      <c r="AG117" s="14">
        <f t="shared" si="1"/>
        <v>0</v>
      </c>
      <c r="AH117" s="8"/>
      <c r="AI117" s="14" t="s">
        <v>89</v>
      </c>
    </row>
    <row r="118">
      <c r="A118" s="2">
        <v>2.0</v>
      </c>
      <c r="B118" s="2" t="s">
        <v>76</v>
      </c>
      <c r="C118" s="2" t="s">
        <v>83</v>
      </c>
      <c r="D118" s="2" t="s">
        <v>86</v>
      </c>
      <c r="E118" s="2" t="s">
        <v>79</v>
      </c>
      <c r="F118" s="2" t="s">
        <v>104</v>
      </c>
      <c r="G118" s="2">
        <v>5.0</v>
      </c>
      <c r="H118" s="2" t="s">
        <v>110</v>
      </c>
      <c r="I118" s="3">
        <v>45684.0</v>
      </c>
      <c r="AA118" s="25"/>
      <c r="AB118" s="2" t="s">
        <v>82</v>
      </c>
      <c r="AC118" s="6"/>
      <c r="AD118" s="2">
        <v>0.00961</v>
      </c>
      <c r="AG118" s="2">
        <f t="shared" si="1"/>
        <v>0</v>
      </c>
      <c r="AH118" s="8">
        <f t="shared" ref="AH118:AH119" si="17">AD118+AG118</f>
        <v>0.00961</v>
      </c>
    </row>
    <row r="119">
      <c r="A119" s="14">
        <v>2.0</v>
      </c>
      <c r="B119" s="14" t="s">
        <v>76</v>
      </c>
      <c r="C119" s="14" t="s">
        <v>83</v>
      </c>
      <c r="D119" s="14" t="s">
        <v>86</v>
      </c>
      <c r="E119" s="14" t="s">
        <v>87</v>
      </c>
      <c r="F119" s="14" t="s">
        <v>104</v>
      </c>
      <c r="G119" s="14">
        <v>6.0</v>
      </c>
      <c r="H119" s="14" t="s">
        <v>111</v>
      </c>
      <c r="I119" s="15">
        <v>45684.0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27"/>
      <c r="AB119" s="14" t="s">
        <v>82</v>
      </c>
      <c r="AC119" s="19"/>
      <c r="AD119" s="14">
        <v>0.19463</v>
      </c>
      <c r="AE119" s="17"/>
      <c r="AF119" s="17"/>
      <c r="AG119" s="14">
        <f t="shared" si="1"/>
        <v>0</v>
      </c>
      <c r="AH119" s="8">
        <f t="shared" si="17"/>
        <v>0.19463</v>
      </c>
      <c r="AI119" s="14" t="s">
        <v>89</v>
      </c>
    </row>
    <row r="120">
      <c r="A120" s="14">
        <v>2.0</v>
      </c>
      <c r="B120" s="14" t="s">
        <v>76</v>
      </c>
      <c r="C120" s="14" t="s">
        <v>83</v>
      </c>
      <c r="D120" s="14" t="s">
        <v>86</v>
      </c>
      <c r="E120" s="14" t="s">
        <v>106</v>
      </c>
      <c r="F120" s="14" t="s">
        <v>104</v>
      </c>
      <c r="G120" s="14">
        <v>7.0</v>
      </c>
      <c r="H120" s="14" t="s">
        <v>112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27"/>
      <c r="AB120" s="14" t="s">
        <v>82</v>
      </c>
      <c r="AC120" s="19"/>
      <c r="AD120" s="17"/>
      <c r="AE120" s="17"/>
      <c r="AF120" s="17"/>
      <c r="AG120" s="14">
        <f t="shared" si="1"/>
        <v>0</v>
      </c>
      <c r="AH120" s="8"/>
      <c r="AI120" s="14" t="s">
        <v>146</v>
      </c>
    </row>
    <row r="121">
      <c r="A121" s="2">
        <v>2.0</v>
      </c>
      <c r="B121" s="2" t="s">
        <v>76</v>
      </c>
      <c r="C121" s="2" t="s">
        <v>83</v>
      </c>
      <c r="D121" s="2" t="s">
        <v>78</v>
      </c>
      <c r="E121" s="2" t="s">
        <v>84</v>
      </c>
      <c r="F121" s="2" t="s">
        <v>104</v>
      </c>
      <c r="G121" s="2">
        <v>8.0</v>
      </c>
      <c r="H121" s="2" t="s">
        <v>113</v>
      </c>
      <c r="I121" s="3">
        <v>45684.0</v>
      </c>
      <c r="AA121" s="25"/>
      <c r="AB121" s="2" t="s">
        <v>82</v>
      </c>
      <c r="AC121" s="6"/>
      <c r="AD121" s="2">
        <v>0.006</v>
      </c>
      <c r="AG121" s="2">
        <f t="shared" si="1"/>
        <v>0</v>
      </c>
      <c r="AH121" s="8">
        <f t="shared" ref="AH121:AH122" si="18">AD121+AG121</f>
        <v>0.006</v>
      </c>
    </row>
    <row r="122">
      <c r="A122" s="2">
        <v>2.0</v>
      </c>
      <c r="B122" s="2" t="s">
        <v>76</v>
      </c>
      <c r="C122" s="2" t="s">
        <v>77</v>
      </c>
      <c r="D122" s="2" t="s">
        <v>86</v>
      </c>
      <c r="E122" s="2" t="s">
        <v>92</v>
      </c>
      <c r="F122" s="2" t="s">
        <v>104</v>
      </c>
      <c r="G122" s="2">
        <v>9.0</v>
      </c>
      <c r="H122" s="2" t="s">
        <v>114</v>
      </c>
      <c r="I122" s="3">
        <v>45684.0</v>
      </c>
      <c r="L122" s="3">
        <v>45854.0</v>
      </c>
      <c r="N122" s="32"/>
      <c r="O122" s="32">
        <v>23.0</v>
      </c>
      <c r="P122" s="2">
        <v>58.0</v>
      </c>
      <c r="Q122" s="2">
        <v>47.0</v>
      </c>
      <c r="R122" s="2">
        <v>46.0</v>
      </c>
      <c r="X122" s="2"/>
      <c r="Y122" s="2">
        <v>11.0</v>
      </c>
      <c r="Z122" s="12">
        <f t="shared" ref="Z122:Z123" si="19">sum(O122:Y122)</f>
        <v>185</v>
      </c>
      <c r="AA122" s="25" t="str">
        <f t="shared" ref="AA122:AA123" si="20">Z122/#REF!</f>
        <v>#REF!</v>
      </c>
      <c r="AB122" s="2">
        <v>5.0</v>
      </c>
      <c r="AC122" s="6" t="str">
        <f t="shared" ref="AC122:AC123" si="21">AA122*AB122</f>
        <v>#REF!</v>
      </c>
      <c r="AD122" s="2">
        <v>0.32005</v>
      </c>
      <c r="AE122" s="2">
        <v>0.02626</v>
      </c>
      <c r="AF122" s="2">
        <v>0.01158</v>
      </c>
      <c r="AG122" s="2">
        <f t="shared" si="1"/>
        <v>0.03784</v>
      </c>
      <c r="AH122" s="8">
        <f t="shared" si="18"/>
        <v>0.35789</v>
      </c>
      <c r="AI122" s="2" t="s">
        <v>162</v>
      </c>
    </row>
    <row r="123">
      <c r="A123" s="2">
        <v>2.0</v>
      </c>
      <c r="B123" s="2" t="s">
        <v>76</v>
      </c>
      <c r="C123" s="2" t="s">
        <v>77</v>
      </c>
      <c r="D123" s="2" t="s">
        <v>86</v>
      </c>
      <c r="E123" s="2" t="s">
        <v>92</v>
      </c>
      <c r="F123" s="2" t="s">
        <v>104</v>
      </c>
      <c r="G123" s="2">
        <v>10.0</v>
      </c>
      <c r="H123" s="2" t="s">
        <v>115</v>
      </c>
      <c r="I123" s="3">
        <v>45684.0</v>
      </c>
      <c r="J123" s="2">
        <v>0.0</v>
      </c>
      <c r="K123" s="4">
        <v>45735.0</v>
      </c>
      <c r="L123" s="3">
        <v>45854.0</v>
      </c>
      <c r="M123" s="3">
        <v>45902.0</v>
      </c>
      <c r="N123" s="2"/>
      <c r="O123" s="2">
        <v>116.0</v>
      </c>
      <c r="P123" s="2">
        <v>46.0</v>
      </c>
      <c r="Q123" s="2">
        <v>101.0</v>
      </c>
      <c r="Z123" s="12">
        <f t="shared" si="19"/>
        <v>263</v>
      </c>
      <c r="AA123" s="25" t="str">
        <f t="shared" si="20"/>
        <v>#REF!</v>
      </c>
      <c r="AB123" s="2">
        <v>3.0</v>
      </c>
      <c r="AC123" s="6" t="str">
        <f t="shared" si="21"/>
        <v>#REF!</v>
      </c>
      <c r="AE123" s="2">
        <v>0.02158</v>
      </c>
      <c r="AF123" s="2">
        <v>0.00242</v>
      </c>
      <c r="AG123" s="2">
        <f t="shared" si="1"/>
        <v>0.024</v>
      </c>
      <c r="AH123" s="8"/>
    </row>
    <row r="124">
      <c r="A124" s="14">
        <v>2.0</v>
      </c>
      <c r="B124" s="14" t="s">
        <v>76</v>
      </c>
      <c r="C124" s="14" t="s">
        <v>83</v>
      </c>
      <c r="D124" s="14" t="s">
        <v>86</v>
      </c>
      <c r="E124" s="14" t="s">
        <v>87</v>
      </c>
      <c r="F124" s="14" t="s">
        <v>104</v>
      </c>
      <c r="G124" s="14">
        <v>11.0</v>
      </c>
      <c r="H124" s="14" t="s">
        <v>116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27"/>
      <c r="AB124" s="14" t="s">
        <v>82</v>
      </c>
      <c r="AC124" s="19"/>
      <c r="AD124" s="17"/>
      <c r="AE124" s="17"/>
      <c r="AF124" s="17"/>
      <c r="AG124" s="14">
        <f t="shared" si="1"/>
        <v>0</v>
      </c>
      <c r="AH124" s="8"/>
      <c r="AI124" s="14" t="s">
        <v>146</v>
      </c>
    </row>
    <row r="125">
      <c r="A125" s="2">
        <v>2.0</v>
      </c>
      <c r="B125" s="2" t="s">
        <v>76</v>
      </c>
      <c r="C125" s="2" t="s">
        <v>77</v>
      </c>
      <c r="D125" s="2" t="s">
        <v>78</v>
      </c>
      <c r="E125" s="2" t="s">
        <v>90</v>
      </c>
      <c r="F125" s="2" t="s">
        <v>104</v>
      </c>
      <c r="G125" s="2">
        <v>12.0</v>
      </c>
      <c r="H125" s="2" t="s">
        <v>117</v>
      </c>
      <c r="I125" s="3">
        <v>45684.0</v>
      </c>
      <c r="L125" s="3">
        <v>45854.0</v>
      </c>
      <c r="M125" s="3">
        <v>45860.0</v>
      </c>
      <c r="N125" s="2"/>
      <c r="O125" s="2">
        <v>105.0</v>
      </c>
      <c r="P125" s="2">
        <v>97.0</v>
      </c>
      <c r="Y125" s="2">
        <v>16.0</v>
      </c>
      <c r="Z125" s="12">
        <f>sum(O125:Y125)</f>
        <v>218</v>
      </c>
      <c r="AA125" s="25" t="str">
        <f>Z125/#REF!</f>
        <v>#REF!</v>
      </c>
      <c r="AB125" s="2">
        <v>2.0</v>
      </c>
      <c r="AC125" s="6" t="str">
        <f>AA125*AB125</f>
        <v>#REF!</v>
      </c>
      <c r="AD125" s="2">
        <v>0.37439</v>
      </c>
      <c r="AE125" s="2">
        <v>0.02016</v>
      </c>
      <c r="AG125" s="2">
        <f t="shared" si="1"/>
        <v>0.02016</v>
      </c>
      <c r="AH125" s="8">
        <f>AD125+AG125</f>
        <v>0.39455</v>
      </c>
    </row>
    <row r="126">
      <c r="A126" s="14">
        <v>2.0</v>
      </c>
      <c r="B126" s="14" t="s">
        <v>76</v>
      </c>
      <c r="C126" s="14" t="s">
        <v>77</v>
      </c>
      <c r="D126" s="14" t="s">
        <v>86</v>
      </c>
      <c r="E126" s="14" t="s">
        <v>84</v>
      </c>
      <c r="F126" s="14" t="s">
        <v>104</v>
      </c>
      <c r="G126" s="14">
        <v>13.0</v>
      </c>
      <c r="H126" s="14" t="s">
        <v>118</v>
      </c>
      <c r="I126" s="15">
        <v>45684.0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27"/>
      <c r="AB126" s="14" t="s">
        <v>82</v>
      </c>
      <c r="AC126" s="19"/>
      <c r="AD126" s="17"/>
      <c r="AE126" s="17"/>
      <c r="AF126" s="17"/>
      <c r="AG126" s="14">
        <f t="shared" si="1"/>
        <v>0</v>
      </c>
      <c r="AH126" s="8"/>
      <c r="AI126" s="14" t="s">
        <v>89</v>
      </c>
    </row>
    <row r="127">
      <c r="A127" s="2">
        <v>2.0</v>
      </c>
      <c r="B127" s="2" t="s">
        <v>76</v>
      </c>
      <c r="C127" s="2" t="s">
        <v>77</v>
      </c>
      <c r="D127" s="2" t="s">
        <v>78</v>
      </c>
      <c r="E127" s="2" t="s">
        <v>87</v>
      </c>
      <c r="F127" s="2" t="s">
        <v>104</v>
      </c>
      <c r="G127" s="2">
        <v>14.0</v>
      </c>
      <c r="H127" s="2" t="s">
        <v>119</v>
      </c>
      <c r="I127" s="3">
        <v>45684.0</v>
      </c>
      <c r="AA127" s="25"/>
      <c r="AB127" s="2" t="s">
        <v>82</v>
      </c>
      <c r="AC127" s="6"/>
      <c r="AD127" s="2">
        <v>0.02106</v>
      </c>
      <c r="AG127" s="2">
        <f t="shared" si="1"/>
        <v>0</v>
      </c>
      <c r="AH127" s="8">
        <f t="shared" ref="AH127:AH128" si="22">AD127+AG127</f>
        <v>0.02106</v>
      </c>
    </row>
    <row r="128">
      <c r="A128" s="2">
        <v>2.0</v>
      </c>
      <c r="B128" s="2" t="s">
        <v>76</v>
      </c>
      <c r="C128" s="2" t="s">
        <v>77</v>
      </c>
      <c r="D128" s="2" t="s">
        <v>86</v>
      </c>
      <c r="E128" s="2" t="s">
        <v>79</v>
      </c>
      <c r="F128" s="2" t="s">
        <v>120</v>
      </c>
      <c r="G128" s="2">
        <v>1.0</v>
      </c>
      <c r="H128" s="2" t="s">
        <v>121</v>
      </c>
      <c r="I128" s="3">
        <v>45684.0</v>
      </c>
      <c r="AA128" s="25"/>
      <c r="AB128" s="2" t="s">
        <v>82</v>
      </c>
      <c r="AC128" s="6"/>
      <c r="AD128" s="2">
        <v>0.01197</v>
      </c>
      <c r="AG128" s="2">
        <f t="shared" si="1"/>
        <v>0</v>
      </c>
      <c r="AH128" s="8">
        <f t="shared" si="22"/>
        <v>0.01197</v>
      </c>
    </row>
    <row r="129">
      <c r="A129" s="14">
        <v>2.0</v>
      </c>
      <c r="B129" s="14" t="s">
        <v>76</v>
      </c>
      <c r="C129" s="14" t="s">
        <v>83</v>
      </c>
      <c r="D129" s="14" t="s">
        <v>86</v>
      </c>
      <c r="E129" s="14" t="s">
        <v>90</v>
      </c>
      <c r="F129" s="14" t="s">
        <v>120</v>
      </c>
      <c r="G129" s="14">
        <v>2.0</v>
      </c>
      <c r="H129" s="14" t="s">
        <v>122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27"/>
      <c r="AB129" s="14" t="s">
        <v>82</v>
      </c>
      <c r="AC129" s="19"/>
      <c r="AD129" s="17"/>
      <c r="AE129" s="17"/>
      <c r="AF129" s="17"/>
      <c r="AG129" s="2">
        <f t="shared" si="1"/>
        <v>0</v>
      </c>
      <c r="AH129" s="8"/>
      <c r="AI129" s="14" t="s">
        <v>146</v>
      </c>
    </row>
    <row r="130">
      <c r="A130" s="2">
        <v>2.0</v>
      </c>
      <c r="B130" s="2" t="s">
        <v>76</v>
      </c>
      <c r="C130" s="2" t="s">
        <v>77</v>
      </c>
      <c r="D130" s="2" t="s">
        <v>78</v>
      </c>
      <c r="E130" s="2" t="s">
        <v>106</v>
      </c>
      <c r="F130" s="2" t="s">
        <v>120</v>
      </c>
      <c r="G130" s="2">
        <v>3.0</v>
      </c>
      <c r="H130" s="2" t="s">
        <v>123</v>
      </c>
      <c r="I130" s="3">
        <v>45684.0</v>
      </c>
      <c r="AA130" s="25"/>
      <c r="AB130" s="2" t="s">
        <v>82</v>
      </c>
      <c r="AC130" s="6"/>
      <c r="AD130" s="2">
        <v>0.18734</v>
      </c>
      <c r="AG130" s="2">
        <f t="shared" si="1"/>
        <v>0</v>
      </c>
      <c r="AH130" s="8">
        <f t="shared" ref="AH130:AH131" si="23">AD130+AG130</f>
        <v>0.18734</v>
      </c>
    </row>
    <row r="131">
      <c r="A131" s="2">
        <v>2.0</v>
      </c>
      <c r="B131" s="2" t="s">
        <v>76</v>
      </c>
      <c r="C131" s="2" t="s">
        <v>83</v>
      </c>
      <c r="D131" s="2" t="s">
        <v>78</v>
      </c>
      <c r="E131" s="2" t="s">
        <v>92</v>
      </c>
      <c r="F131" s="2" t="s">
        <v>120</v>
      </c>
      <c r="G131" s="2">
        <v>4.0</v>
      </c>
      <c r="H131" s="2" t="s">
        <v>124</v>
      </c>
      <c r="I131" s="3">
        <v>45684.0</v>
      </c>
      <c r="L131" s="3">
        <v>45854.0</v>
      </c>
      <c r="M131" s="3">
        <v>45860.0</v>
      </c>
      <c r="N131" s="2"/>
      <c r="O131" s="2">
        <v>136.0</v>
      </c>
      <c r="P131" s="2">
        <v>157.0</v>
      </c>
      <c r="Q131" s="2">
        <v>59.0</v>
      </c>
      <c r="R131" s="2">
        <v>191.0</v>
      </c>
      <c r="X131" s="2"/>
      <c r="Y131" s="2">
        <v>14.0</v>
      </c>
      <c r="Z131" s="12">
        <f>sum(O131:Y131)</f>
        <v>557</v>
      </c>
      <c r="AA131" s="25" t="str">
        <f>Z131/#REF!</f>
        <v>#REF!</v>
      </c>
      <c r="AB131" s="2">
        <v>6.0</v>
      </c>
      <c r="AC131" s="6" t="str">
        <f>AA131*AB131</f>
        <v>#REF!</v>
      </c>
      <c r="AD131" s="2">
        <v>0.33964</v>
      </c>
      <c r="AE131" s="2">
        <v>0.05252</v>
      </c>
      <c r="AF131" s="2">
        <v>0.01973</v>
      </c>
      <c r="AG131" s="2">
        <f t="shared" si="1"/>
        <v>0.07225</v>
      </c>
      <c r="AH131" s="8">
        <f t="shared" si="23"/>
        <v>0.41189</v>
      </c>
    </row>
    <row r="132">
      <c r="A132" s="14">
        <v>2.0</v>
      </c>
      <c r="B132" s="14" t="s">
        <v>76</v>
      </c>
      <c r="C132" s="14" t="s">
        <v>83</v>
      </c>
      <c r="D132" s="14" t="s">
        <v>86</v>
      </c>
      <c r="E132" s="14" t="s">
        <v>99</v>
      </c>
      <c r="F132" s="14" t="s">
        <v>120</v>
      </c>
      <c r="G132" s="14">
        <v>5.0</v>
      </c>
      <c r="H132" s="14" t="s">
        <v>125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27"/>
      <c r="AB132" s="14" t="s">
        <v>82</v>
      </c>
      <c r="AC132" s="19"/>
      <c r="AD132" s="17"/>
      <c r="AE132" s="17"/>
      <c r="AF132" s="17"/>
      <c r="AG132" s="2">
        <f t="shared" si="1"/>
        <v>0</v>
      </c>
      <c r="AH132" s="8"/>
      <c r="AI132" s="14" t="s">
        <v>146</v>
      </c>
    </row>
    <row r="133">
      <c r="A133" s="14">
        <v>2.0</v>
      </c>
      <c r="B133" s="14" t="s">
        <v>76</v>
      </c>
      <c r="C133" s="14" t="s">
        <v>83</v>
      </c>
      <c r="D133" s="14" t="s">
        <v>86</v>
      </c>
      <c r="E133" s="14" t="s">
        <v>99</v>
      </c>
      <c r="F133" s="14" t="s">
        <v>120</v>
      </c>
      <c r="G133" s="14">
        <v>6.0</v>
      </c>
      <c r="H133" s="14" t="s">
        <v>126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27"/>
      <c r="AB133" s="14" t="s">
        <v>82</v>
      </c>
      <c r="AC133" s="19"/>
      <c r="AD133" s="14" t="s">
        <v>203</v>
      </c>
      <c r="AE133" s="17"/>
      <c r="AF133" s="17"/>
      <c r="AG133" s="2">
        <f t="shared" si="1"/>
        <v>0</v>
      </c>
      <c r="AH133" s="8" t="str">
        <f>AD133+AG133</f>
        <v>#VALUE!</v>
      </c>
      <c r="AI133" s="14" t="s">
        <v>146</v>
      </c>
    </row>
    <row r="134">
      <c r="A134" s="14">
        <v>2.0</v>
      </c>
      <c r="B134" s="14" t="s">
        <v>76</v>
      </c>
      <c r="C134" s="14" t="s">
        <v>83</v>
      </c>
      <c r="D134" s="14" t="s">
        <v>78</v>
      </c>
      <c r="E134" s="14" t="s">
        <v>79</v>
      </c>
      <c r="F134" s="14" t="s">
        <v>120</v>
      </c>
      <c r="G134" s="14">
        <v>7.0</v>
      </c>
      <c r="H134" s="14" t="s">
        <v>128</v>
      </c>
      <c r="I134" s="15">
        <v>45684.0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27"/>
      <c r="AB134" s="14" t="s">
        <v>82</v>
      </c>
      <c r="AC134" s="19"/>
      <c r="AD134" s="17"/>
      <c r="AE134" s="17"/>
      <c r="AF134" s="17"/>
      <c r="AG134" s="2">
        <f t="shared" si="1"/>
        <v>0</v>
      </c>
      <c r="AH134" s="8"/>
      <c r="AI134" s="14" t="s">
        <v>89</v>
      </c>
    </row>
    <row r="135">
      <c r="A135" s="2">
        <v>2.0</v>
      </c>
      <c r="B135" s="2" t="s">
        <v>76</v>
      </c>
      <c r="C135" s="2" t="s">
        <v>83</v>
      </c>
      <c r="D135" s="2" t="s">
        <v>78</v>
      </c>
      <c r="E135" s="2" t="s">
        <v>99</v>
      </c>
      <c r="F135" s="2" t="s">
        <v>120</v>
      </c>
      <c r="G135" s="2">
        <v>8.0</v>
      </c>
      <c r="H135" s="2" t="s">
        <v>129</v>
      </c>
      <c r="I135" s="3">
        <v>45684.0</v>
      </c>
      <c r="L135" s="3">
        <v>45854.0</v>
      </c>
      <c r="M135" s="3">
        <v>45902.0</v>
      </c>
      <c r="N135" s="2"/>
      <c r="O135" s="2">
        <v>104.0</v>
      </c>
      <c r="P135" s="2">
        <v>86.0</v>
      </c>
      <c r="Z135" s="12">
        <f t="shared" ref="Z135:Z137" si="24">sum(O135:Y135)</f>
        <v>190</v>
      </c>
      <c r="AA135" s="25" t="str">
        <f t="shared" ref="AA135:AA137" si="25">Z135/#REF!</f>
        <v>#REF!</v>
      </c>
      <c r="AB135" s="2">
        <v>2.0</v>
      </c>
      <c r="AC135" s="6" t="str">
        <f t="shared" ref="AC135:AC137" si="26">AA135*AB135</f>
        <v>#REF!</v>
      </c>
      <c r="AD135" s="2">
        <v>0.28586</v>
      </c>
      <c r="AE135" s="2">
        <v>0.01711</v>
      </c>
      <c r="AF135" s="2">
        <v>0.00139</v>
      </c>
      <c r="AG135" s="2">
        <f t="shared" si="1"/>
        <v>0.0185</v>
      </c>
      <c r="AH135" s="8">
        <f t="shared" ref="AH135:AH138" si="27">AD135+AG135</f>
        <v>0.30436</v>
      </c>
    </row>
    <row r="136">
      <c r="A136" s="2">
        <v>2.0</v>
      </c>
      <c r="B136" s="2" t="s">
        <v>76</v>
      </c>
      <c r="C136" s="2" t="s">
        <v>77</v>
      </c>
      <c r="D136" s="2" t="s">
        <v>78</v>
      </c>
      <c r="E136" s="2" t="s">
        <v>92</v>
      </c>
      <c r="F136" s="2" t="s">
        <v>120</v>
      </c>
      <c r="G136" s="2">
        <v>9.0</v>
      </c>
      <c r="H136" s="2" t="s">
        <v>130</v>
      </c>
      <c r="I136" s="3">
        <v>45684.0</v>
      </c>
      <c r="L136" s="3">
        <v>45854.0</v>
      </c>
      <c r="N136" s="2"/>
      <c r="O136" s="2">
        <v>46.0</v>
      </c>
      <c r="Z136" s="12">
        <f t="shared" si="24"/>
        <v>46</v>
      </c>
      <c r="AA136" s="25" t="str">
        <f t="shared" si="25"/>
        <v>#REF!</v>
      </c>
      <c r="AB136" s="2">
        <v>1.0</v>
      </c>
      <c r="AC136" s="6" t="str">
        <f t="shared" si="26"/>
        <v>#REF!</v>
      </c>
      <c r="AD136" s="2">
        <v>0.27063</v>
      </c>
      <c r="AE136" s="2">
        <v>0.00372</v>
      </c>
      <c r="AG136" s="2">
        <f t="shared" si="1"/>
        <v>0.00372</v>
      </c>
      <c r="AH136" s="8">
        <f t="shared" si="27"/>
        <v>0.27435</v>
      </c>
    </row>
    <row r="137">
      <c r="A137" s="2">
        <v>2.0</v>
      </c>
      <c r="B137" s="2" t="s">
        <v>76</v>
      </c>
      <c r="C137" s="2" t="s">
        <v>83</v>
      </c>
      <c r="D137" s="2" t="s">
        <v>78</v>
      </c>
      <c r="E137" s="2" t="s">
        <v>99</v>
      </c>
      <c r="F137" s="2" t="s">
        <v>120</v>
      </c>
      <c r="G137" s="2">
        <v>10.0</v>
      </c>
      <c r="H137" s="2" t="s">
        <v>131</v>
      </c>
      <c r="I137" s="3">
        <v>45684.0</v>
      </c>
      <c r="L137" s="3">
        <v>45854.0</v>
      </c>
      <c r="N137" s="2"/>
      <c r="O137" s="2">
        <v>109.0</v>
      </c>
      <c r="P137" s="2">
        <v>106.0</v>
      </c>
      <c r="Q137" s="2">
        <v>73.0</v>
      </c>
      <c r="Z137" s="12">
        <f t="shared" si="24"/>
        <v>288</v>
      </c>
      <c r="AA137" s="25" t="str">
        <f t="shared" si="25"/>
        <v>#REF!</v>
      </c>
      <c r="AB137" s="2">
        <v>3.0</v>
      </c>
      <c r="AC137" s="6" t="str">
        <f t="shared" si="26"/>
        <v>#REF!</v>
      </c>
      <c r="AD137" s="2">
        <v>0.26462</v>
      </c>
      <c r="AE137" s="2">
        <v>0.02545</v>
      </c>
      <c r="AF137" s="2">
        <v>0.00115</v>
      </c>
      <c r="AG137" s="2">
        <f t="shared" si="1"/>
        <v>0.0266</v>
      </c>
      <c r="AH137" s="8">
        <f t="shared" si="27"/>
        <v>0.29122</v>
      </c>
    </row>
    <row r="138">
      <c r="A138" s="2">
        <v>2.0</v>
      </c>
      <c r="B138" s="2" t="s">
        <v>76</v>
      </c>
      <c r="C138" s="2" t="s">
        <v>77</v>
      </c>
      <c r="D138" s="2" t="s">
        <v>78</v>
      </c>
      <c r="E138" s="2" t="s">
        <v>106</v>
      </c>
      <c r="F138" s="2" t="s">
        <v>120</v>
      </c>
      <c r="G138" s="2">
        <v>11.0</v>
      </c>
      <c r="H138" s="2" t="s">
        <v>132</v>
      </c>
      <c r="I138" s="3">
        <v>45684.0</v>
      </c>
      <c r="AA138" s="25"/>
      <c r="AB138" s="2" t="s">
        <v>82</v>
      </c>
      <c r="AC138" s="6"/>
      <c r="AD138" s="2">
        <v>0.19058</v>
      </c>
      <c r="AG138" s="2">
        <f t="shared" si="1"/>
        <v>0</v>
      </c>
      <c r="AH138" s="8">
        <f t="shared" si="27"/>
        <v>0.19058</v>
      </c>
    </row>
    <row r="139">
      <c r="A139" s="14">
        <v>2.0</v>
      </c>
      <c r="B139" s="14" t="s">
        <v>76</v>
      </c>
      <c r="C139" s="14" t="s">
        <v>83</v>
      </c>
      <c r="D139" s="14" t="s">
        <v>86</v>
      </c>
      <c r="E139" s="14" t="s">
        <v>84</v>
      </c>
      <c r="F139" s="14" t="s">
        <v>120</v>
      </c>
      <c r="G139" s="14">
        <v>12.0</v>
      </c>
      <c r="H139" s="14" t="s">
        <v>133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27"/>
      <c r="AB139" s="14" t="s">
        <v>82</v>
      </c>
      <c r="AC139" s="19"/>
      <c r="AD139" s="17"/>
      <c r="AE139" s="17"/>
      <c r="AF139" s="17"/>
      <c r="AG139" s="2">
        <f t="shared" si="1"/>
        <v>0</v>
      </c>
      <c r="AH139" s="8"/>
      <c r="AI139" s="14" t="s">
        <v>146</v>
      </c>
    </row>
    <row r="140">
      <c r="A140" s="2">
        <v>2.0</v>
      </c>
      <c r="B140" s="2" t="s">
        <v>76</v>
      </c>
      <c r="C140" s="2" t="s">
        <v>77</v>
      </c>
      <c r="D140" s="2" t="s">
        <v>86</v>
      </c>
      <c r="E140" s="2" t="s">
        <v>92</v>
      </c>
      <c r="F140" s="2" t="s">
        <v>120</v>
      </c>
      <c r="G140" s="2">
        <v>13.0</v>
      </c>
      <c r="H140" s="2" t="s">
        <v>134</v>
      </c>
      <c r="I140" s="3">
        <v>45684.0</v>
      </c>
      <c r="L140" s="3">
        <v>45854.0</v>
      </c>
      <c r="M140" s="3">
        <v>45860.0</v>
      </c>
      <c r="N140" s="2"/>
      <c r="O140" s="2">
        <v>76.0</v>
      </c>
      <c r="P140" s="2">
        <v>63.0</v>
      </c>
      <c r="Q140" s="2">
        <v>57.0</v>
      </c>
      <c r="Z140" s="12">
        <f t="shared" ref="Z140:Z141" si="28">sum(O140:Y140)</f>
        <v>196</v>
      </c>
      <c r="AA140" s="25" t="str">
        <f t="shared" ref="AA140:AA141" si="29">Z140/#REF!</f>
        <v>#REF!</v>
      </c>
      <c r="AB140" s="2">
        <v>3.0</v>
      </c>
      <c r="AC140" s="6" t="str">
        <f t="shared" ref="AC140:AC141" si="30">AA140*AB140</f>
        <v>#REF!</v>
      </c>
      <c r="AD140" s="2">
        <v>0.24219</v>
      </c>
      <c r="AF140" s="2">
        <v>0.01782</v>
      </c>
      <c r="AG140" s="2">
        <f t="shared" si="1"/>
        <v>0.01782</v>
      </c>
      <c r="AH140" s="8">
        <f t="shared" ref="AH140:AH142" si="31">AD140+AG140</f>
        <v>0.26001</v>
      </c>
    </row>
    <row r="141">
      <c r="A141" s="2">
        <v>2.0</v>
      </c>
      <c r="B141" s="2" t="s">
        <v>76</v>
      </c>
      <c r="C141" s="2" t="s">
        <v>83</v>
      </c>
      <c r="D141" s="2" t="s">
        <v>78</v>
      </c>
      <c r="E141" s="2" t="s">
        <v>90</v>
      </c>
      <c r="F141" s="2" t="s">
        <v>120</v>
      </c>
      <c r="G141" s="2">
        <v>14.0</v>
      </c>
      <c r="H141" s="2" t="s">
        <v>136</v>
      </c>
      <c r="I141" s="3">
        <v>45684.0</v>
      </c>
      <c r="L141" s="3">
        <v>45854.0</v>
      </c>
      <c r="M141" s="3">
        <v>45860.0</v>
      </c>
      <c r="N141" s="2"/>
      <c r="O141" s="2">
        <v>188.0</v>
      </c>
      <c r="P141" s="2">
        <v>125.0</v>
      </c>
      <c r="Q141" s="2">
        <v>131.0</v>
      </c>
      <c r="R141" s="2">
        <v>151.0</v>
      </c>
      <c r="X141" s="2"/>
      <c r="Y141" s="2">
        <v>16.0</v>
      </c>
      <c r="Z141" s="12">
        <f t="shared" si="28"/>
        <v>611</v>
      </c>
      <c r="AA141" s="25" t="str">
        <f t="shared" si="29"/>
        <v>#REF!</v>
      </c>
      <c r="AB141" s="2">
        <v>4.0</v>
      </c>
      <c r="AC141" s="6" t="str">
        <f t="shared" si="30"/>
        <v>#REF!</v>
      </c>
      <c r="AD141" s="2">
        <v>0.49925</v>
      </c>
      <c r="AF141" s="2">
        <v>0.05811</v>
      </c>
      <c r="AG141" s="2">
        <f t="shared" si="1"/>
        <v>0.05811</v>
      </c>
      <c r="AH141" s="8">
        <f t="shared" si="31"/>
        <v>0.55736</v>
      </c>
    </row>
    <row r="142">
      <c r="A142" s="2">
        <v>2.0</v>
      </c>
      <c r="B142" s="2" t="s">
        <v>76</v>
      </c>
      <c r="C142" s="2" t="s">
        <v>77</v>
      </c>
      <c r="D142" s="2" t="s">
        <v>86</v>
      </c>
      <c r="E142" s="2" t="s">
        <v>90</v>
      </c>
      <c r="F142" s="2" t="s">
        <v>137</v>
      </c>
      <c r="G142" s="2">
        <v>1.0</v>
      </c>
      <c r="H142" s="2" t="s">
        <v>138</v>
      </c>
      <c r="I142" s="3">
        <v>45684.0</v>
      </c>
      <c r="AA142" s="25"/>
      <c r="AB142" s="2" t="s">
        <v>82</v>
      </c>
      <c r="AC142" s="6"/>
      <c r="AD142" s="2">
        <v>0.36495</v>
      </c>
      <c r="AG142" s="2">
        <f t="shared" si="1"/>
        <v>0</v>
      </c>
      <c r="AH142" s="8">
        <f t="shared" si="31"/>
        <v>0.36495</v>
      </c>
    </row>
    <row r="143">
      <c r="A143" s="14">
        <v>2.0</v>
      </c>
      <c r="B143" s="14" t="s">
        <v>76</v>
      </c>
      <c r="C143" s="14" t="s">
        <v>77</v>
      </c>
      <c r="D143" s="14" t="s">
        <v>78</v>
      </c>
      <c r="E143" s="14" t="s">
        <v>79</v>
      </c>
      <c r="F143" s="14" t="s">
        <v>137</v>
      </c>
      <c r="G143" s="14">
        <v>2.0</v>
      </c>
      <c r="H143" s="14" t="s">
        <v>139</v>
      </c>
      <c r="I143" s="15">
        <v>45684.0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27"/>
      <c r="AB143" s="14" t="s">
        <v>82</v>
      </c>
      <c r="AC143" s="19"/>
      <c r="AD143" s="17"/>
      <c r="AE143" s="17"/>
      <c r="AF143" s="17"/>
      <c r="AG143" s="2">
        <f t="shared" si="1"/>
        <v>0</v>
      </c>
      <c r="AH143" s="8"/>
      <c r="AI143" s="14" t="s">
        <v>89</v>
      </c>
    </row>
    <row r="144">
      <c r="A144" s="14">
        <v>2.0</v>
      </c>
      <c r="B144" s="14" t="s">
        <v>76</v>
      </c>
      <c r="C144" s="14" t="s">
        <v>83</v>
      </c>
      <c r="D144" s="14" t="s">
        <v>78</v>
      </c>
      <c r="E144" s="14" t="s">
        <v>87</v>
      </c>
      <c r="F144" s="14" t="s">
        <v>137</v>
      </c>
      <c r="G144" s="14">
        <v>3.0</v>
      </c>
      <c r="H144" s="14" t="s">
        <v>140</v>
      </c>
      <c r="I144" s="15">
        <v>45684.0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27"/>
      <c r="AB144" s="14" t="s">
        <v>82</v>
      </c>
      <c r="AC144" s="19"/>
      <c r="AD144" s="17"/>
      <c r="AE144" s="17"/>
      <c r="AF144" s="17"/>
      <c r="AG144" s="2">
        <f t="shared" si="1"/>
        <v>0</v>
      </c>
      <c r="AH144" s="8"/>
      <c r="AI144" s="14" t="s">
        <v>89</v>
      </c>
    </row>
    <row r="145">
      <c r="A145" s="14">
        <v>2.0</v>
      </c>
      <c r="B145" s="14" t="s">
        <v>76</v>
      </c>
      <c r="C145" s="14" t="s">
        <v>83</v>
      </c>
      <c r="D145" s="14" t="s">
        <v>86</v>
      </c>
      <c r="E145" s="14" t="s">
        <v>90</v>
      </c>
      <c r="F145" s="14" t="s">
        <v>137</v>
      </c>
      <c r="G145" s="14">
        <v>4.0</v>
      </c>
      <c r="H145" s="14" t="s">
        <v>141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27"/>
      <c r="AB145" s="14" t="s">
        <v>82</v>
      </c>
      <c r="AC145" s="19"/>
      <c r="AD145" s="17"/>
      <c r="AE145" s="17"/>
      <c r="AF145" s="17"/>
      <c r="AG145" s="2">
        <f t="shared" si="1"/>
        <v>0</v>
      </c>
      <c r="AH145" s="8"/>
      <c r="AI145" s="14" t="s">
        <v>146</v>
      </c>
    </row>
    <row r="146">
      <c r="A146" s="2">
        <v>2.0</v>
      </c>
      <c r="B146" s="2" t="s">
        <v>76</v>
      </c>
      <c r="C146" s="2" t="s">
        <v>83</v>
      </c>
      <c r="D146" s="2" t="s">
        <v>78</v>
      </c>
      <c r="E146" s="2" t="s">
        <v>99</v>
      </c>
      <c r="F146" s="2" t="s">
        <v>137</v>
      </c>
      <c r="G146" s="2">
        <v>5.0</v>
      </c>
      <c r="H146" s="2" t="s">
        <v>142</v>
      </c>
      <c r="I146" s="3">
        <v>45684.0</v>
      </c>
      <c r="L146" s="3">
        <v>45854.0</v>
      </c>
      <c r="N146" s="2"/>
      <c r="O146" s="2">
        <v>52.0</v>
      </c>
      <c r="P146" s="2">
        <v>108.0</v>
      </c>
      <c r="Q146" s="2">
        <v>172.0</v>
      </c>
      <c r="X146" s="2"/>
      <c r="Y146" s="2">
        <v>10.0</v>
      </c>
      <c r="Z146" s="12">
        <f>sum(O146:Y146)</f>
        <v>342</v>
      </c>
      <c r="AA146" s="25" t="str">
        <f>Z146/#REF!</f>
        <v>#REF!</v>
      </c>
      <c r="AB146" s="2">
        <v>3.0</v>
      </c>
      <c r="AC146" s="6" t="str">
        <f>AA146*AB146</f>
        <v>#REF!</v>
      </c>
      <c r="AD146" s="2">
        <v>0.39679</v>
      </c>
      <c r="AE146" s="2">
        <v>0.03916</v>
      </c>
      <c r="AG146" s="2">
        <f t="shared" si="1"/>
        <v>0.03916</v>
      </c>
      <c r="AH146" s="8">
        <f>AD146+AG146</f>
        <v>0.43595</v>
      </c>
    </row>
    <row r="147">
      <c r="A147" s="14">
        <v>2.0</v>
      </c>
      <c r="B147" s="14" t="s">
        <v>76</v>
      </c>
      <c r="C147" s="14" t="s">
        <v>83</v>
      </c>
      <c r="D147" s="14" t="s">
        <v>86</v>
      </c>
      <c r="E147" s="14" t="s">
        <v>106</v>
      </c>
      <c r="F147" s="14" t="s">
        <v>137</v>
      </c>
      <c r="G147" s="14">
        <v>6.0</v>
      </c>
      <c r="H147" s="14" t="s">
        <v>143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27"/>
      <c r="AB147" s="14" t="s">
        <v>82</v>
      </c>
      <c r="AC147" s="19"/>
      <c r="AD147" s="17"/>
      <c r="AE147" s="17"/>
      <c r="AF147" s="17"/>
      <c r="AG147" s="2">
        <f t="shared" si="1"/>
        <v>0</v>
      </c>
      <c r="AH147" s="8"/>
      <c r="AI147" s="14" t="s">
        <v>146</v>
      </c>
    </row>
    <row r="148">
      <c r="A148" s="2">
        <v>2.0</v>
      </c>
      <c r="B148" s="2" t="s">
        <v>76</v>
      </c>
      <c r="C148" s="2" t="s">
        <v>77</v>
      </c>
      <c r="D148" s="2" t="s">
        <v>78</v>
      </c>
      <c r="E148" s="2" t="s">
        <v>99</v>
      </c>
      <c r="F148" s="2" t="s">
        <v>137</v>
      </c>
      <c r="G148" s="2">
        <v>7.0</v>
      </c>
      <c r="H148" s="2" t="s">
        <v>144</v>
      </c>
      <c r="I148" s="3">
        <v>45684.0</v>
      </c>
      <c r="L148" s="3">
        <v>45854.0</v>
      </c>
      <c r="N148" s="2"/>
      <c r="O148" s="2">
        <v>62.0</v>
      </c>
      <c r="Z148" s="12">
        <f t="shared" ref="Z148:Z150" si="32">sum(O148:Y148)</f>
        <v>62</v>
      </c>
      <c r="AA148" s="25" t="str">
        <f t="shared" ref="AA148:AA150" si="33">Z148/#REF!</f>
        <v>#REF!</v>
      </c>
      <c r="AB148" s="2">
        <v>1.0</v>
      </c>
      <c r="AC148" s="6" t="str">
        <f t="shared" ref="AC148:AC150" si="34">AA148*AB148</f>
        <v>#REF!</v>
      </c>
      <c r="AD148" s="2">
        <v>0.39747</v>
      </c>
      <c r="AE148" s="2">
        <v>0.00622</v>
      </c>
      <c r="AG148" s="2">
        <f t="shared" si="1"/>
        <v>0.00622</v>
      </c>
      <c r="AH148" s="8">
        <f t="shared" ref="AH148:AH154" si="35">AD148+AG148</f>
        <v>0.40369</v>
      </c>
    </row>
    <row r="149">
      <c r="A149" s="2">
        <v>2.0</v>
      </c>
      <c r="B149" s="2" t="s">
        <v>76</v>
      </c>
      <c r="C149" s="2" t="s">
        <v>77</v>
      </c>
      <c r="D149" s="2" t="s">
        <v>78</v>
      </c>
      <c r="E149" s="2" t="s">
        <v>84</v>
      </c>
      <c r="F149" s="2" t="s">
        <v>137</v>
      </c>
      <c r="G149" s="2">
        <v>8.0</v>
      </c>
      <c r="H149" s="2" t="s">
        <v>145</v>
      </c>
      <c r="I149" s="3">
        <v>45684.0</v>
      </c>
      <c r="L149" s="3">
        <v>45854.0</v>
      </c>
      <c r="N149" s="2"/>
      <c r="O149" s="2">
        <v>91.0</v>
      </c>
      <c r="P149" s="2">
        <v>74.0</v>
      </c>
      <c r="Z149" s="12">
        <f t="shared" si="32"/>
        <v>165</v>
      </c>
      <c r="AA149" s="25" t="str">
        <f t="shared" si="33"/>
        <v>#REF!</v>
      </c>
      <c r="AB149" s="2">
        <v>3.0</v>
      </c>
      <c r="AC149" s="6" t="str">
        <f t="shared" si="34"/>
        <v>#REF!</v>
      </c>
      <c r="AD149" s="2">
        <v>0.33522</v>
      </c>
      <c r="AE149" s="2">
        <v>0.02333</v>
      </c>
      <c r="AF149" s="2">
        <v>0.00367</v>
      </c>
      <c r="AG149" s="2">
        <f t="shared" si="1"/>
        <v>0.027</v>
      </c>
      <c r="AH149" s="8">
        <f t="shared" si="35"/>
        <v>0.36222</v>
      </c>
    </row>
    <row r="150">
      <c r="A150" s="2">
        <v>2.0</v>
      </c>
      <c r="B150" s="2" t="s">
        <v>76</v>
      </c>
      <c r="C150" s="2" t="s">
        <v>77</v>
      </c>
      <c r="D150" s="2" t="s">
        <v>78</v>
      </c>
      <c r="E150" s="2" t="s">
        <v>84</v>
      </c>
      <c r="F150" s="2" t="s">
        <v>137</v>
      </c>
      <c r="G150" s="2">
        <v>9.0</v>
      </c>
      <c r="H150" s="2" t="s">
        <v>147</v>
      </c>
      <c r="I150" s="3">
        <v>45684.0</v>
      </c>
      <c r="L150" s="3">
        <v>45845.0</v>
      </c>
      <c r="M150" s="3"/>
      <c r="N150" s="2"/>
      <c r="O150" s="2">
        <v>78.0</v>
      </c>
      <c r="P150" s="2">
        <v>92.0</v>
      </c>
      <c r="Q150" s="2">
        <v>48.0</v>
      </c>
      <c r="R150" s="2">
        <v>29.0</v>
      </c>
      <c r="S150" s="2">
        <v>67.0</v>
      </c>
      <c r="T150" s="2">
        <v>88.0</v>
      </c>
      <c r="V150" s="2"/>
      <c r="W150" s="2"/>
      <c r="X150" s="2"/>
      <c r="Y150" s="2">
        <v>6.0</v>
      </c>
      <c r="Z150" s="12">
        <f t="shared" si="32"/>
        <v>408</v>
      </c>
      <c r="AA150" s="5" t="str">
        <f t="shared" si="33"/>
        <v>#REF!</v>
      </c>
      <c r="AB150" s="2">
        <v>7.0</v>
      </c>
      <c r="AC150" s="6" t="str">
        <f t="shared" si="34"/>
        <v>#REF!</v>
      </c>
      <c r="AD150" s="2">
        <v>0.29454</v>
      </c>
      <c r="AE150" s="2">
        <v>0.0431</v>
      </c>
      <c r="AF150" s="2">
        <v>0.01506</v>
      </c>
      <c r="AG150" s="2">
        <f t="shared" si="1"/>
        <v>0.05816</v>
      </c>
      <c r="AH150" s="8">
        <f t="shared" si="35"/>
        <v>0.3527</v>
      </c>
    </row>
    <row r="151">
      <c r="A151" s="2">
        <v>2.0</v>
      </c>
      <c r="B151" s="2" t="s">
        <v>76</v>
      </c>
      <c r="C151" s="2" t="s">
        <v>77</v>
      </c>
      <c r="D151" s="2" t="s">
        <v>86</v>
      </c>
      <c r="E151" s="2" t="s">
        <v>99</v>
      </c>
      <c r="F151" s="2" t="s">
        <v>137</v>
      </c>
      <c r="G151" s="2">
        <v>10.0</v>
      </c>
      <c r="H151" s="2" t="s">
        <v>148</v>
      </c>
      <c r="I151" s="3">
        <v>45684.0</v>
      </c>
      <c r="J151" s="2">
        <v>0.0</v>
      </c>
      <c r="K151" s="4">
        <v>45735.0</v>
      </c>
      <c r="AA151" s="25"/>
      <c r="AB151" s="2" t="s">
        <v>82</v>
      </c>
      <c r="AC151" s="6"/>
      <c r="AD151" s="2">
        <v>0.20399</v>
      </c>
      <c r="AG151" s="2">
        <f t="shared" si="1"/>
        <v>0</v>
      </c>
      <c r="AH151" s="8">
        <f t="shared" si="35"/>
        <v>0.20399</v>
      </c>
    </row>
    <row r="152">
      <c r="A152" s="2">
        <v>2.0</v>
      </c>
      <c r="B152" s="2" t="s">
        <v>76</v>
      </c>
      <c r="C152" s="2" t="s">
        <v>83</v>
      </c>
      <c r="D152" s="2" t="s">
        <v>78</v>
      </c>
      <c r="E152" s="2" t="s">
        <v>87</v>
      </c>
      <c r="F152" s="2" t="s">
        <v>137</v>
      </c>
      <c r="G152" s="2">
        <v>11.0</v>
      </c>
      <c r="H152" s="2" t="s">
        <v>149</v>
      </c>
      <c r="I152" s="3">
        <v>45684.0</v>
      </c>
      <c r="AA152" s="25"/>
      <c r="AB152" s="2" t="s">
        <v>82</v>
      </c>
      <c r="AC152" s="6"/>
      <c r="AD152" s="2">
        <v>0.02092</v>
      </c>
      <c r="AG152" s="2">
        <f t="shared" si="1"/>
        <v>0</v>
      </c>
      <c r="AH152" s="8">
        <f t="shared" si="35"/>
        <v>0.02092</v>
      </c>
    </row>
    <row r="153">
      <c r="A153" s="2">
        <v>2.0</v>
      </c>
      <c r="B153" s="2" t="s">
        <v>76</v>
      </c>
      <c r="C153" s="2" t="s">
        <v>83</v>
      </c>
      <c r="D153" s="2" t="s">
        <v>78</v>
      </c>
      <c r="E153" s="2" t="s">
        <v>106</v>
      </c>
      <c r="F153" s="2" t="s">
        <v>137</v>
      </c>
      <c r="G153" s="2">
        <v>12.0</v>
      </c>
      <c r="H153" s="2" t="s">
        <v>150</v>
      </c>
      <c r="I153" s="3">
        <v>45684.0</v>
      </c>
      <c r="L153" s="3">
        <v>45860.0</v>
      </c>
      <c r="O153" s="2">
        <v>156.0</v>
      </c>
      <c r="Z153" s="12">
        <f>sum(O153:Y153)</f>
        <v>156</v>
      </c>
      <c r="AA153" s="25" t="str">
        <f>Z153/#REF!</f>
        <v>#REF!</v>
      </c>
      <c r="AB153" s="2">
        <v>1.0</v>
      </c>
      <c r="AC153" s="6" t="str">
        <f>AA153*AB153</f>
        <v>#REF!</v>
      </c>
      <c r="AD153" s="2">
        <v>0.1623</v>
      </c>
      <c r="AE153" s="2">
        <v>0.01812</v>
      </c>
      <c r="AG153" s="2">
        <f t="shared" si="1"/>
        <v>0.01812</v>
      </c>
      <c r="AH153" s="8">
        <f t="shared" si="35"/>
        <v>0.18042</v>
      </c>
    </row>
    <row r="154">
      <c r="A154" s="2">
        <v>2.0</v>
      </c>
      <c r="B154" s="2" t="s">
        <v>76</v>
      </c>
      <c r="C154" s="2" t="s">
        <v>83</v>
      </c>
      <c r="D154" s="2" t="s">
        <v>78</v>
      </c>
      <c r="E154" s="2" t="s">
        <v>84</v>
      </c>
      <c r="F154" s="2" t="s">
        <v>137</v>
      </c>
      <c r="G154" s="2">
        <v>13.0</v>
      </c>
      <c r="H154" s="2" t="s">
        <v>151</v>
      </c>
      <c r="I154" s="3">
        <v>45684.0</v>
      </c>
      <c r="AA154" s="25"/>
      <c r="AB154" s="2" t="s">
        <v>82</v>
      </c>
      <c r="AC154" s="6"/>
      <c r="AD154" s="2">
        <v>0.30995</v>
      </c>
      <c r="AG154" s="2">
        <f t="shared" si="1"/>
        <v>0</v>
      </c>
      <c r="AH154" s="8">
        <f t="shared" si="35"/>
        <v>0.30995</v>
      </c>
    </row>
    <row r="155">
      <c r="A155" s="14">
        <v>2.0</v>
      </c>
      <c r="B155" s="14" t="s">
        <v>76</v>
      </c>
      <c r="C155" s="14" t="s">
        <v>77</v>
      </c>
      <c r="D155" s="14" t="s">
        <v>86</v>
      </c>
      <c r="E155" s="14" t="s">
        <v>99</v>
      </c>
      <c r="F155" s="14" t="s">
        <v>137</v>
      </c>
      <c r="G155" s="14">
        <v>14.0</v>
      </c>
      <c r="H155" s="14" t="s">
        <v>203</v>
      </c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27"/>
      <c r="AB155" s="14" t="s">
        <v>82</v>
      </c>
      <c r="AC155" s="19"/>
      <c r="AD155" s="17"/>
      <c r="AE155" s="17"/>
      <c r="AF155" s="17"/>
      <c r="AG155" s="2">
        <f t="shared" si="1"/>
        <v>0</v>
      </c>
      <c r="AH155" s="8"/>
      <c r="AI155" s="14" t="s">
        <v>146</v>
      </c>
    </row>
    <row r="156">
      <c r="A156" s="14">
        <v>2.0</v>
      </c>
      <c r="B156" s="14" t="s">
        <v>76</v>
      </c>
      <c r="C156" s="14" t="s">
        <v>83</v>
      </c>
      <c r="D156" s="14" t="s">
        <v>86</v>
      </c>
      <c r="E156" s="14" t="s">
        <v>90</v>
      </c>
      <c r="F156" s="14" t="s">
        <v>153</v>
      </c>
      <c r="G156" s="14">
        <v>1.0</v>
      </c>
      <c r="H156" s="14" t="s">
        <v>154</v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27"/>
      <c r="AB156" s="14" t="s">
        <v>82</v>
      </c>
      <c r="AC156" s="19"/>
      <c r="AD156" s="17"/>
      <c r="AE156" s="17"/>
      <c r="AF156" s="17"/>
      <c r="AG156" s="2">
        <f t="shared" si="1"/>
        <v>0</v>
      </c>
      <c r="AH156" s="8"/>
      <c r="AI156" s="14" t="s">
        <v>146</v>
      </c>
    </row>
    <row r="157">
      <c r="A157" s="2">
        <v>2.0</v>
      </c>
      <c r="B157" s="2" t="s">
        <v>76</v>
      </c>
      <c r="C157" s="2" t="s">
        <v>83</v>
      </c>
      <c r="D157" s="2" t="s">
        <v>78</v>
      </c>
      <c r="E157" s="2" t="s">
        <v>92</v>
      </c>
      <c r="F157" s="2" t="s">
        <v>153</v>
      </c>
      <c r="G157" s="2">
        <v>2.0</v>
      </c>
      <c r="H157" s="2" t="s">
        <v>155</v>
      </c>
      <c r="I157" s="3">
        <v>45684.0</v>
      </c>
      <c r="AA157" s="25"/>
      <c r="AB157" s="2" t="s">
        <v>82</v>
      </c>
      <c r="AC157" s="6"/>
      <c r="AD157" s="2">
        <v>0.45542</v>
      </c>
      <c r="AG157" s="2">
        <f t="shared" si="1"/>
        <v>0</v>
      </c>
      <c r="AH157" s="8">
        <f>AD157+AG157</f>
        <v>0.45542</v>
      </c>
    </row>
    <row r="158">
      <c r="A158" s="14">
        <v>2.0</v>
      </c>
      <c r="B158" s="14" t="s">
        <v>76</v>
      </c>
      <c r="C158" s="14" t="s">
        <v>77</v>
      </c>
      <c r="D158" s="14" t="s">
        <v>86</v>
      </c>
      <c r="E158" s="14" t="s">
        <v>79</v>
      </c>
      <c r="F158" s="14" t="s">
        <v>153</v>
      </c>
      <c r="G158" s="14">
        <v>3.0</v>
      </c>
      <c r="H158" s="14" t="s">
        <v>156</v>
      </c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27"/>
      <c r="AB158" s="14" t="s">
        <v>82</v>
      </c>
      <c r="AC158" s="19"/>
      <c r="AD158" s="17"/>
      <c r="AE158" s="17"/>
      <c r="AF158" s="17"/>
      <c r="AG158" s="2">
        <f t="shared" si="1"/>
        <v>0</v>
      </c>
      <c r="AH158" s="8"/>
      <c r="AI158" s="14" t="s">
        <v>146</v>
      </c>
    </row>
    <row r="159">
      <c r="A159" s="14">
        <v>2.0</v>
      </c>
      <c r="B159" s="14" t="s">
        <v>76</v>
      </c>
      <c r="C159" s="14" t="s">
        <v>83</v>
      </c>
      <c r="D159" s="14" t="s">
        <v>86</v>
      </c>
      <c r="E159" s="14" t="s">
        <v>106</v>
      </c>
      <c r="F159" s="14" t="s">
        <v>153</v>
      </c>
      <c r="G159" s="14">
        <v>4.0</v>
      </c>
      <c r="H159" s="14" t="s">
        <v>157</v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27"/>
      <c r="AB159" s="14" t="s">
        <v>82</v>
      </c>
      <c r="AC159" s="19"/>
      <c r="AD159" s="17"/>
      <c r="AE159" s="17"/>
      <c r="AF159" s="17"/>
      <c r="AG159" s="2">
        <f t="shared" si="1"/>
        <v>0</v>
      </c>
      <c r="AH159" s="8"/>
      <c r="AI159" s="14" t="s">
        <v>146</v>
      </c>
    </row>
    <row r="160">
      <c r="A160" s="14">
        <v>2.0</v>
      </c>
      <c r="B160" s="14" t="s">
        <v>76</v>
      </c>
      <c r="C160" s="14" t="s">
        <v>83</v>
      </c>
      <c r="D160" s="14" t="s">
        <v>86</v>
      </c>
      <c r="E160" s="14" t="s">
        <v>99</v>
      </c>
      <c r="F160" s="14" t="s">
        <v>153</v>
      </c>
      <c r="G160" s="14">
        <v>5.0</v>
      </c>
      <c r="H160" s="14" t="s">
        <v>158</v>
      </c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27"/>
      <c r="AB160" s="14" t="s">
        <v>82</v>
      </c>
      <c r="AC160" s="19"/>
      <c r="AD160" s="17"/>
      <c r="AE160" s="17"/>
      <c r="AF160" s="17"/>
      <c r="AG160" s="2">
        <f t="shared" si="1"/>
        <v>0</v>
      </c>
      <c r="AH160" s="8"/>
      <c r="AI160" s="14" t="s">
        <v>146</v>
      </c>
    </row>
    <row r="161">
      <c r="A161" s="2">
        <v>2.0</v>
      </c>
      <c r="B161" s="2" t="s">
        <v>76</v>
      </c>
      <c r="C161" s="2" t="s">
        <v>83</v>
      </c>
      <c r="D161" s="2" t="s">
        <v>78</v>
      </c>
      <c r="E161" s="2" t="s">
        <v>106</v>
      </c>
      <c r="F161" s="2" t="s">
        <v>153</v>
      </c>
      <c r="G161" s="2">
        <v>6.0</v>
      </c>
      <c r="H161" s="2" t="s">
        <v>159</v>
      </c>
      <c r="I161" s="3">
        <v>45684.0</v>
      </c>
      <c r="AA161" s="25"/>
      <c r="AB161" s="2" t="s">
        <v>82</v>
      </c>
      <c r="AC161" s="6"/>
      <c r="AD161" s="2">
        <v>0.10958</v>
      </c>
      <c r="AG161" s="2">
        <f t="shared" si="1"/>
        <v>0</v>
      </c>
      <c r="AH161" s="8">
        <f>AD161+AG161</f>
        <v>0.10958</v>
      </c>
    </row>
    <row r="162">
      <c r="A162" s="14">
        <v>2.0</v>
      </c>
      <c r="B162" s="14" t="s">
        <v>76</v>
      </c>
      <c r="C162" s="14" t="s">
        <v>77</v>
      </c>
      <c r="D162" s="14" t="s">
        <v>86</v>
      </c>
      <c r="E162" s="14" t="s">
        <v>99</v>
      </c>
      <c r="F162" s="14" t="s">
        <v>153</v>
      </c>
      <c r="G162" s="14">
        <v>7.0</v>
      </c>
      <c r="H162" s="14" t="s">
        <v>160</v>
      </c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27"/>
      <c r="AB162" s="14" t="s">
        <v>82</v>
      </c>
      <c r="AC162" s="19"/>
      <c r="AD162" s="17"/>
      <c r="AE162" s="17"/>
      <c r="AF162" s="17"/>
      <c r="AG162" s="2">
        <f t="shared" si="1"/>
        <v>0</v>
      </c>
      <c r="AH162" s="8"/>
      <c r="AI162" s="14" t="s">
        <v>146</v>
      </c>
    </row>
    <row r="163">
      <c r="A163" s="2">
        <v>2.0</v>
      </c>
      <c r="B163" s="2" t="s">
        <v>76</v>
      </c>
      <c r="C163" s="2" t="s">
        <v>83</v>
      </c>
      <c r="D163" s="2" t="s">
        <v>78</v>
      </c>
      <c r="E163" s="2" t="s">
        <v>79</v>
      </c>
      <c r="F163" s="2" t="s">
        <v>153</v>
      </c>
      <c r="G163" s="2">
        <v>8.0</v>
      </c>
      <c r="H163" s="2" t="s">
        <v>161</v>
      </c>
      <c r="I163" s="3">
        <v>45684.0</v>
      </c>
      <c r="AA163" s="25"/>
      <c r="AB163" s="2" t="s">
        <v>82</v>
      </c>
      <c r="AC163" s="6"/>
      <c r="AD163" s="2">
        <v>0.08709</v>
      </c>
      <c r="AG163" s="2">
        <f t="shared" si="1"/>
        <v>0</v>
      </c>
      <c r="AH163" s="8">
        <f t="shared" ref="AH163:AH168" si="36">AD163+AG163</f>
        <v>0.08709</v>
      </c>
    </row>
    <row r="164">
      <c r="A164" s="2">
        <v>2.0</v>
      </c>
      <c r="B164" s="2" t="s">
        <v>76</v>
      </c>
      <c r="C164" s="2" t="s">
        <v>83</v>
      </c>
      <c r="D164" s="2" t="s">
        <v>78</v>
      </c>
      <c r="E164" s="2" t="s">
        <v>92</v>
      </c>
      <c r="F164" s="2" t="s">
        <v>153</v>
      </c>
      <c r="G164" s="2">
        <v>9.0</v>
      </c>
      <c r="H164" s="2" t="s">
        <v>163</v>
      </c>
      <c r="I164" s="3">
        <v>45684.0</v>
      </c>
      <c r="L164" s="3">
        <v>45860.0</v>
      </c>
      <c r="O164" s="2">
        <v>72.0</v>
      </c>
      <c r="Z164" s="12">
        <f>sum(O164:Y164)</f>
        <v>72</v>
      </c>
      <c r="AA164" s="25" t="str">
        <f>Z164/#REF!</f>
        <v>#REF!</v>
      </c>
      <c r="AB164" s="2">
        <v>1.0</v>
      </c>
      <c r="AC164" s="6" t="str">
        <f>AA164*AB164</f>
        <v>#REF!</v>
      </c>
      <c r="AD164" s="2">
        <v>0.22228</v>
      </c>
      <c r="AE164" s="2">
        <v>0.0069</v>
      </c>
      <c r="AG164" s="2">
        <f t="shared" si="1"/>
        <v>0.0069</v>
      </c>
      <c r="AH164" s="8">
        <f t="shared" si="36"/>
        <v>0.22918</v>
      </c>
    </row>
    <row r="165">
      <c r="A165" s="2">
        <v>2.0</v>
      </c>
      <c r="B165" s="2" t="s">
        <v>76</v>
      </c>
      <c r="C165" s="2" t="s">
        <v>83</v>
      </c>
      <c r="D165" s="2" t="s">
        <v>78</v>
      </c>
      <c r="E165" s="2" t="s">
        <v>106</v>
      </c>
      <c r="F165" s="2" t="s">
        <v>153</v>
      </c>
      <c r="G165" s="2">
        <v>10.0</v>
      </c>
      <c r="H165" s="2" t="s">
        <v>164</v>
      </c>
      <c r="I165" s="3">
        <v>45684.0</v>
      </c>
      <c r="L165" s="3">
        <v>45902.0</v>
      </c>
      <c r="O165" s="2">
        <v>152.0</v>
      </c>
      <c r="AA165" s="25"/>
      <c r="AB165" s="2">
        <v>1.0</v>
      </c>
      <c r="AC165" s="6"/>
      <c r="AD165" s="2">
        <v>0.18005</v>
      </c>
      <c r="AE165" s="2">
        <v>0.01449</v>
      </c>
      <c r="AG165" s="2">
        <f t="shared" si="1"/>
        <v>0.01449</v>
      </c>
      <c r="AH165" s="8">
        <f t="shared" si="36"/>
        <v>0.19454</v>
      </c>
    </row>
    <row r="166">
      <c r="A166" s="2">
        <v>2.0</v>
      </c>
      <c r="B166" s="2" t="s">
        <v>76</v>
      </c>
      <c r="C166" s="2" t="s">
        <v>77</v>
      </c>
      <c r="D166" s="2" t="s">
        <v>78</v>
      </c>
      <c r="E166" s="2" t="s">
        <v>79</v>
      </c>
      <c r="F166" s="2" t="s">
        <v>153</v>
      </c>
      <c r="G166" s="2">
        <v>11.0</v>
      </c>
      <c r="H166" s="2" t="s">
        <v>165</v>
      </c>
      <c r="I166" s="3">
        <v>45684.0</v>
      </c>
      <c r="AA166" s="25"/>
      <c r="AB166" s="2" t="s">
        <v>82</v>
      </c>
      <c r="AC166" s="6"/>
      <c r="AD166" s="2">
        <v>0.07938</v>
      </c>
      <c r="AG166" s="2">
        <f t="shared" si="1"/>
        <v>0</v>
      </c>
      <c r="AH166" s="8">
        <f t="shared" si="36"/>
        <v>0.07938</v>
      </c>
    </row>
    <row r="167">
      <c r="A167" s="2">
        <v>2.0</v>
      </c>
      <c r="B167" s="2" t="s">
        <v>76</v>
      </c>
      <c r="C167" s="2" t="s">
        <v>83</v>
      </c>
      <c r="D167" s="2" t="s">
        <v>78</v>
      </c>
      <c r="E167" s="2" t="s">
        <v>84</v>
      </c>
      <c r="F167" s="2" t="s">
        <v>153</v>
      </c>
      <c r="G167" s="2">
        <v>12.0</v>
      </c>
      <c r="H167" s="2" t="s">
        <v>166</v>
      </c>
      <c r="I167" s="3">
        <v>45684.0</v>
      </c>
      <c r="L167" s="3">
        <v>45854.0</v>
      </c>
      <c r="M167" s="3">
        <v>45902.0</v>
      </c>
      <c r="N167" s="2"/>
      <c r="O167" s="2">
        <v>123.0</v>
      </c>
      <c r="P167" s="2">
        <v>112.0</v>
      </c>
      <c r="Z167" s="12">
        <f>sum(O167:Y167)</f>
        <v>235</v>
      </c>
      <c r="AA167" s="25" t="str">
        <f>Z167/#REF!</f>
        <v>#REF!</v>
      </c>
      <c r="AB167" s="2">
        <v>2.0</v>
      </c>
      <c r="AC167" s="6" t="str">
        <f>AA167*AB167</f>
        <v>#REF!</v>
      </c>
      <c r="AD167" s="2">
        <v>0.39319</v>
      </c>
      <c r="AE167" s="2">
        <v>0.02153</v>
      </c>
      <c r="AF167" s="2">
        <v>0.00128</v>
      </c>
      <c r="AG167" s="2">
        <f t="shared" si="1"/>
        <v>0.02281</v>
      </c>
      <c r="AH167" s="8">
        <f t="shared" si="36"/>
        <v>0.416</v>
      </c>
    </row>
    <row r="168">
      <c r="A168" s="2">
        <v>2.0</v>
      </c>
      <c r="B168" s="2" t="s">
        <v>76</v>
      </c>
      <c r="C168" s="2" t="s">
        <v>77</v>
      </c>
      <c r="D168" s="2" t="s">
        <v>86</v>
      </c>
      <c r="E168" s="2" t="s">
        <v>106</v>
      </c>
      <c r="F168" s="2" t="s">
        <v>153</v>
      </c>
      <c r="G168" s="2">
        <v>13.0</v>
      </c>
      <c r="H168" s="2" t="s">
        <v>167</v>
      </c>
      <c r="I168" s="3">
        <v>45684.0</v>
      </c>
      <c r="AA168" s="25"/>
      <c r="AB168" s="2" t="s">
        <v>82</v>
      </c>
      <c r="AC168" s="6"/>
      <c r="AD168" s="2">
        <v>0.21709</v>
      </c>
      <c r="AG168" s="2">
        <f t="shared" si="1"/>
        <v>0</v>
      </c>
      <c r="AH168" s="8">
        <f t="shared" si="36"/>
        <v>0.21709</v>
      </c>
    </row>
    <row r="169">
      <c r="A169" s="14">
        <v>2.0</v>
      </c>
      <c r="B169" s="14" t="s">
        <v>76</v>
      </c>
      <c r="C169" s="14" t="s">
        <v>83</v>
      </c>
      <c r="D169" s="14" t="s">
        <v>86</v>
      </c>
      <c r="E169" s="14" t="s">
        <v>92</v>
      </c>
      <c r="F169" s="14" t="s">
        <v>153</v>
      </c>
      <c r="G169" s="14">
        <v>14.0</v>
      </c>
      <c r="H169" s="14" t="s">
        <v>168</v>
      </c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27"/>
      <c r="AB169" s="14" t="s">
        <v>82</v>
      </c>
      <c r="AC169" s="19"/>
      <c r="AD169" s="17"/>
      <c r="AE169" s="17"/>
      <c r="AF169" s="17"/>
      <c r="AG169" s="2">
        <f t="shared" si="1"/>
        <v>0</v>
      </c>
      <c r="AH169" s="8"/>
      <c r="AI169" s="14" t="s">
        <v>146</v>
      </c>
    </row>
    <row r="170">
      <c r="A170" s="14">
        <v>2.0</v>
      </c>
      <c r="B170" s="14" t="s">
        <v>76</v>
      </c>
      <c r="C170" s="14" t="s">
        <v>83</v>
      </c>
      <c r="D170" s="14" t="s">
        <v>86</v>
      </c>
      <c r="E170" s="14" t="s">
        <v>99</v>
      </c>
      <c r="F170" s="14" t="s">
        <v>169</v>
      </c>
      <c r="G170" s="14">
        <v>1.0</v>
      </c>
      <c r="H170" s="14" t="s">
        <v>170</v>
      </c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27"/>
      <c r="AB170" s="14" t="s">
        <v>82</v>
      </c>
      <c r="AC170" s="19"/>
      <c r="AD170" s="17"/>
      <c r="AE170" s="17"/>
      <c r="AF170" s="17"/>
      <c r="AG170" s="2">
        <f t="shared" si="1"/>
        <v>0</v>
      </c>
      <c r="AH170" s="8"/>
      <c r="AI170" s="14" t="s">
        <v>146</v>
      </c>
    </row>
    <row r="171">
      <c r="A171" s="2">
        <v>2.0</v>
      </c>
      <c r="B171" s="2" t="s">
        <v>76</v>
      </c>
      <c r="C171" s="2" t="s">
        <v>83</v>
      </c>
      <c r="D171" s="2" t="s">
        <v>78</v>
      </c>
      <c r="E171" s="2" t="s">
        <v>90</v>
      </c>
      <c r="F171" s="2" t="s">
        <v>169</v>
      </c>
      <c r="G171" s="2">
        <v>2.0</v>
      </c>
      <c r="H171" s="2" t="s">
        <v>171</v>
      </c>
      <c r="I171" s="3">
        <v>45684.0</v>
      </c>
      <c r="L171" s="3">
        <v>45854.0</v>
      </c>
      <c r="N171" s="2"/>
      <c r="O171" s="2">
        <v>133.0</v>
      </c>
      <c r="P171" s="2">
        <v>145.0</v>
      </c>
      <c r="Z171" s="12">
        <f>sum(O171:Y171)</f>
        <v>278</v>
      </c>
      <c r="AA171" s="25" t="str">
        <f>Z171/#REF!</f>
        <v>#REF!</v>
      </c>
      <c r="AB171" s="2">
        <v>2.0</v>
      </c>
      <c r="AC171" s="6" t="str">
        <f>AA171*AB171</f>
        <v>#REF!</v>
      </c>
      <c r="AD171" s="2">
        <v>0.39429</v>
      </c>
      <c r="AE171" s="2">
        <v>0.02252</v>
      </c>
      <c r="AG171" s="2">
        <f t="shared" si="1"/>
        <v>0.02252</v>
      </c>
      <c r="AH171" s="8">
        <f>AD171+AG171</f>
        <v>0.41681</v>
      </c>
    </row>
    <row r="172">
      <c r="A172" s="2">
        <v>2.0</v>
      </c>
      <c r="B172" s="2" t="s">
        <v>76</v>
      </c>
      <c r="C172" s="2" t="s">
        <v>83</v>
      </c>
      <c r="D172" s="2" t="s">
        <v>78</v>
      </c>
      <c r="E172" s="2" t="s">
        <v>87</v>
      </c>
      <c r="F172" s="2" t="s">
        <v>169</v>
      </c>
      <c r="G172" s="2">
        <v>3.0</v>
      </c>
      <c r="H172" s="2" t="s">
        <v>172</v>
      </c>
      <c r="I172" s="3">
        <v>45684.0</v>
      </c>
      <c r="AA172" s="25"/>
      <c r="AB172" s="2" t="s">
        <v>82</v>
      </c>
      <c r="AC172" s="6"/>
      <c r="AG172" s="2">
        <f t="shared" si="1"/>
        <v>0</v>
      </c>
      <c r="AH172" s="8"/>
    </row>
    <row r="173">
      <c r="A173" s="2">
        <v>2.0</v>
      </c>
      <c r="B173" s="2" t="s">
        <v>76</v>
      </c>
      <c r="C173" s="2" t="s">
        <v>77</v>
      </c>
      <c r="D173" s="2" t="s">
        <v>78</v>
      </c>
      <c r="E173" s="2" t="s">
        <v>84</v>
      </c>
      <c r="F173" s="2" t="s">
        <v>169</v>
      </c>
      <c r="G173" s="2">
        <v>4.0</v>
      </c>
      <c r="H173" s="2" t="s">
        <v>173</v>
      </c>
      <c r="I173" s="3">
        <v>45684.0</v>
      </c>
      <c r="AA173" s="25"/>
      <c r="AB173" s="2" t="s">
        <v>82</v>
      </c>
      <c r="AC173" s="6"/>
      <c r="AD173" s="2">
        <v>0.3458</v>
      </c>
      <c r="AE173" s="2"/>
      <c r="AF173" s="2"/>
      <c r="AG173" s="2">
        <f t="shared" si="1"/>
        <v>0</v>
      </c>
      <c r="AH173" s="8">
        <f>AD173+AG173</f>
        <v>0.3458</v>
      </c>
    </row>
    <row r="174">
      <c r="A174" s="14">
        <v>2.0</v>
      </c>
      <c r="B174" s="14" t="s">
        <v>76</v>
      </c>
      <c r="C174" s="14" t="s">
        <v>83</v>
      </c>
      <c r="D174" s="14" t="s">
        <v>86</v>
      </c>
      <c r="E174" s="14" t="s">
        <v>84</v>
      </c>
      <c r="F174" s="14" t="s">
        <v>169</v>
      </c>
      <c r="G174" s="14">
        <v>5.0</v>
      </c>
      <c r="H174" s="14" t="s">
        <v>174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27"/>
      <c r="AB174" s="14" t="s">
        <v>82</v>
      </c>
      <c r="AC174" s="19"/>
      <c r="AD174" s="17"/>
      <c r="AE174" s="17"/>
      <c r="AF174" s="17"/>
      <c r="AG174" s="2">
        <f t="shared" si="1"/>
        <v>0</v>
      </c>
      <c r="AH174" s="8"/>
      <c r="AI174" s="14" t="s">
        <v>146</v>
      </c>
    </row>
    <row r="175">
      <c r="A175" s="2">
        <v>2.0</v>
      </c>
      <c r="B175" s="2" t="s">
        <v>76</v>
      </c>
      <c r="C175" s="2" t="s">
        <v>77</v>
      </c>
      <c r="D175" s="2" t="s">
        <v>78</v>
      </c>
      <c r="E175" s="2" t="s">
        <v>79</v>
      </c>
      <c r="F175" s="2" t="s">
        <v>169</v>
      </c>
      <c r="G175" s="2">
        <v>6.0</v>
      </c>
      <c r="H175" s="2" t="s">
        <v>175</v>
      </c>
      <c r="I175" s="3">
        <v>45684.0</v>
      </c>
      <c r="AA175" s="25"/>
      <c r="AB175" s="2" t="s">
        <v>82</v>
      </c>
      <c r="AC175" s="6"/>
      <c r="AD175" s="2">
        <v>0.0665</v>
      </c>
      <c r="AG175" s="2">
        <f t="shared" si="1"/>
        <v>0</v>
      </c>
      <c r="AH175" s="8">
        <f t="shared" ref="AH175:AH179" si="37">AD175+AG175</f>
        <v>0.0665</v>
      </c>
    </row>
    <row r="176">
      <c r="A176" s="2">
        <v>2.0</v>
      </c>
      <c r="B176" s="2" t="s">
        <v>76</v>
      </c>
      <c r="C176" s="2" t="s">
        <v>77</v>
      </c>
      <c r="D176" s="2" t="s">
        <v>86</v>
      </c>
      <c r="E176" s="2" t="s">
        <v>79</v>
      </c>
      <c r="F176" s="2" t="s">
        <v>169</v>
      </c>
      <c r="G176" s="2">
        <v>7.0</v>
      </c>
      <c r="H176" s="2" t="s">
        <v>176</v>
      </c>
      <c r="I176" s="3">
        <v>45684.0</v>
      </c>
      <c r="AA176" s="25"/>
      <c r="AB176" s="2" t="s">
        <v>82</v>
      </c>
      <c r="AC176" s="6"/>
      <c r="AD176" s="2">
        <v>0.03108</v>
      </c>
      <c r="AG176" s="2">
        <f t="shared" si="1"/>
        <v>0</v>
      </c>
      <c r="AH176" s="8">
        <f t="shared" si="37"/>
        <v>0.03108</v>
      </c>
    </row>
    <row r="177">
      <c r="A177" s="2">
        <v>2.0</v>
      </c>
      <c r="B177" s="2" t="s">
        <v>76</v>
      </c>
      <c r="C177" s="2" t="s">
        <v>77</v>
      </c>
      <c r="D177" s="2" t="s">
        <v>78</v>
      </c>
      <c r="E177" s="2" t="s">
        <v>90</v>
      </c>
      <c r="F177" s="2" t="s">
        <v>169</v>
      </c>
      <c r="G177" s="2">
        <v>8.0</v>
      </c>
      <c r="H177" s="2" t="s">
        <v>177</v>
      </c>
      <c r="I177" s="3">
        <v>45684.0</v>
      </c>
      <c r="L177" s="3">
        <v>45854.0</v>
      </c>
      <c r="N177" s="2"/>
      <c r="O177" s="2">
        <v>50.0</v>
      </c>
      <c r="Z177" s="12">
        <f>sum(O177:Y177)</f>
        <v>50</v>
      </c>
      <c r="AA177" s="25" t="str">
        <f>Z177/#REF!</f>
        <v>#REF!</v>
      </c>
      <c r="AB177" s="2">
        <v>1.0</v>
      </c>
      <c r="AC177" s="6" t="str">
        <f>AA177*AB177</f>
        <v>#REF!</v>
      </c>
      <c r="AD177" s="2">
        <v>0.51026</v>
      </c>
      <c r="AE177" s="2">
        <v>0.00685</v>
      </c>
      <c r="AG177" s="2">
        <f t="shared" si="1"/>
        <v>0.00685</v>
      </c>
      <c r="AH177" s="8">
        <f t="shared" si="37"/>
        <v>0.51711</v>
      </c>
      <c r="AI177" s="2" t="s">
        <v>162</v>
      </c>
    </row>
    <row r="178">
      <c r="A178" s="2">
        <v>2.0</v>
      </c>
      <c r="B178" s="2" t="s">
        <v>76</v>
      </c>
      <c r="C178" s="2" t="s">
        <v>83</v>
      </c>
      <c r="D178" s="2" t="s">
        <v>78</v>
      </c>
      <c r="E178" s="2" t="s">
        <v>79</v>
      </c>
      <c r="F178" s="2" t="s">
        <v>169</v>
      </c>
      <c r="G178" s="2">
        <v>9.0</v>
      </c>
      <c r="H178" s="2" t="s">
        <v>179</v>
      </c>
      <c r="I178" s="3">
        <v>45684.0</v>
      </c>
      <c r="AA178" s="25"/>
      <c r="AB178" s="2" t="s">
        <v>82</v>
      </c>
      <c r="AC178" s="6"/>
      <c r="AD178" s="2">
        <v>0.02637</v>
      </c>
      <c r="AG178" s="2">
        <f t="shared" si="1"/>
        <v>0</v>
      </c>
      <c r="AH178" s="8">
        <f t="shared" si="37"/>
        <v>0.02637</v>
      </c>
    </row>
    <row r="179">
      <c r="A179" s="2">
        <v>2.0</v>
      </c>
      <c r="B179" s="2" t="s">
        <v>76</v>
      </c>
      <c r="C179" s="2" t="s">
        <v>77</v>
      </c>
      <c r="D179" s="2" t="s">
        <v>86</v>
      </c>
      <c r="E179" s="2" t="s">
        <v>106</v>
      </c>
      <c r="F179" s="2" t="s">
        <v>169</v>
      </c>
      <c r="G179" s="2">
        <v>10.0</v>
      </c>
      <c r="H179" s="2" t="s">
        <v>180</v>
      </c>
      <c r="I179" s="3">
        <v>45684.0</v>
      </c>
      <c r="AA179" s="25"/>
      <c r="AB179" s="2" t="s">
        <v>82</v>
      </c>
      <c r="AC179" s="6"/>
      <c r="AD179" s="2">
        <v>0.12174</v>
      </c>
      <c r="AG179" s="2">
        <f t="shared" si="1"/>
        <v>0</v>
      </c>
      <c r="AH179" s="8">
        <f t="shared" si="37"/>
        <v>0.12174</v>
      </c>
    </row>
    <row r="180">
      <c r="A180" s="14">
        <v>2.0</v>
      </c>
      <c r="B180" s="14" t="s">
        <v>76</v>
      </c>
      <c r="C180" s="14" t="s">
        <v>83</v>
      </c>
      <c r="D180" s="14" t="s">
        <v>86</v>
      </c>
      <c r="E180" s="14" t="s">
        <v>90</v>
      </c>
      <c r="F180" s="14" t="s">
        <v>169</v>
      </c>
      <c r="G180" s="14">
        <v>11.0</v>
      </c>
      <c r="H180" s="14" t="s">
        <v>181</v>
      </c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27"/>
      <c r="AB180" s="14" t="s">
        <v>82</v>
      </c>
      <c r="AC180" s="19"/>
      <c r="AD180" s="17"/>
      <c r="AE180" s="17"/>
      <c r="AF180" s="17"/>
      <c r="AG180" s="2">
        <f t="shared" si="1"/>
        <v>0</v>
      </c>
      <c r="AH180" s="8"/>
      <c r="AI180" s="14" t="s">
        <v>146</v>
      </c>
    </row>
    <row r="181">
      <c r="A181" s="14">
        <v>2.0</v>
      </c>
      <c r="B181" s="14" t="s">
        <v>76</v>
      </c>
      <c r="C181" s="14" t="s">
        <v>83</v>
      </c>
      <c r="D181" s="14" t="s">
        <v>86</v>
      </c>
      <c r="E181" s="14" t="s">
        <v>87</v>
      </c>
      <c r="F181" s="14" t="s">
        <v>169</v>
      </c>
      <c r="G181" s="14">
        <v>12.0</v>
      </c>
      <c r="H181" s="14" t="s">
        <v>182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27"/>
      <c r="AB181" s="14" t="s">
        <v>82</v>
      </c>
      <c r="AC181" s="19"/>
      <c r="AD181" s="17"/>
      <c r="AE181" s="17"/>
      <c r="AF181" s="17"/>
      <c r="AG181" s="2">
        <f t="shared" si="1"/>
        <v>0</v>
      </c>
      <c r="AH181" s="8"/>
      <c r="AI181" s="14" t="s">
        <v>146</v>
      </c>
    </row>
    <row r="182">
      <c r="A182" s="2">
        <v>2.0</v>
      </c>
      <c r="B182" s="2" t="s">
        <v>76</v>
      </c>
      <c r="C182" s="2" t="s">
        <v>77</v>
      </c>
      <c r="D182" s="2" t="s">
        <v>86</v>
      </c>
      <c r="E182" s="2" t="s">
        <v>87</v>
      </c>
      <c r="F182" s="2" t="s">
        <v>169</v>
      </c>
      <c r="G182" s="2">
        <v>13.0</v>
      </c>
      <c r="H182" s="2" t="s">
        <v>183</v>
      </c>
      <c r="I182" s="3">
        <v>45684.0</v>
      </c>
      <c r="AA182" s="25"/>
      <c r="AB182" s="2" t="s">
        <v>82</v>
      </c>
      <c r="AC182" s="6"/>
      <c r="AG182" s="2">
        <f t="shared" si="1"/>
        <v>0</v>
      </c>
      <c r="AH182" s="8"/>
    </row>
    <row r="183">
      <c r="A183" s="2">
        <v>2.0</v>
      </c>
      <c r="B183" s="2" t="s">
        <v>76</v>
      </c>
      <c r="C183" s="2" t="s">
        <v>77</v>
      </c>
      <c r="D183" s="2" t="s">
        <v>78</v>
      </c>
      <c r="E183" s="2" t="s">
        <v>92</v>
      </c>
      <c r="F183" s="2" t="s">
        <v>169</v>
      </c>
      <c r="G183" s="2">
        <v>14.0</v>
      </c>
      <c r="H183" s="2" t="s">
        <v>184</v>
      </c>
      <c r="I183" s="3">
        <v>45684.0</v>
      </c>
      <c r="L183" s="3">
        <v>45845.0</v>
      </c>
      <c r="M183" s="3"/>
      <c r="N183" s="2"/>
      <c r="O183" s="2">
        <v>81.0</v>
      </c>
      <c r="P183" s="2">
        <v>72.0</v>
      </c>
      <c r="Q183" s="2">
        <v>61.0</v>
      </c>
      <c r="R183" s="2">
        <v>40.0</v>
      </c>
      <c r="S183" s="2">
        <v>101.0</v>
      </c>
      <c r="V183" s="2"/>
      <c r="W183" s="2"/>
      <c r="X183" s="2"/>
      <c r="Y183" s="2">
        <v>6.0</v>
      </c>
      <c r="Z183" s="12">
        <f>sum(O183:Y183)</f>
        <v>361</v>
      </c>
      <c r="AA183" s="25" t="str">
        <f>Z183/#REF!</f>
        <v>#REF!</v>
      </c>
      <c r="AB183" s="2">
        <v>5.0</v>
      </c>
      <c r="AC183" s="6" t="str">
        <f>AA183*AB183</f>
        <v>#REF!</v>
      </c>
      <c r="AD183" s="2">
        <v>0.3523</v>
      </c>
      <c r="AF183" s="2">
        <v>0.00186</v>
      </c>
      <c r="AG183" s="2">
        <f t="shared" si="1"/>
        <v>0.00186</v>
      </c>
      <c r="AH183" s="8">
        <f>AD183+AG183</f>
        <v>0.35416</v>
      </c>
    </row>
    <row r="184">
      <c r="A184" s="14">
        <v>2.0</v>
      </c>
      <c r="B184" s="14" t="s">
        <v>76</v>
      </c>
      <c r="C184" s="14" t="s">
        <v>83</v>
      </c>
      <c r="D184" s="14" t="s">
        <v>86</v>
      </c>
      <c r="E184" s="14" t="s">
        <v>106</v>
      </c>
      <c r="F184" s="14" t="s">
        <v>186</v>
      </c>
      <c r="G184" s="14">
        <v>1.0</v>
      </c>
      <c r="H184" s="14" t="s">
        <v>187</v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27"/>
      <c r="AB184" s="14" t="s">
        <v>82</v>
      </c>
      <c r="AC184" s="19"/>
      <c r="AD184" s="17"/>
      <c r="AE184" s="17"/>
      <c r="AF184" s="17"/>
      <c r="AG184" s="2">
        <f t="shared" si="1"/>
        <v>0</v>
      </c>
      <c r="AH184" s="8"/>
      <c r="AI184" s="14" t="s">
        <v>146</v>
      </c>
    </row>
    <row r="185">
      <c r="A185" s="2">
        <v>2.0</v>
      </c>
      <c r="B185" s="2" t="s">
        <v>76</v>
      </c>
      <c r="C185" s="2" t="s">
        <v>77</v>
      </c>
      <c r="D185" s="2" t="s">
        <v>86</v>
      </c>
      <c r="E185" s="2" t="s">
        <v>84</v>
      </c>
      <c r="F185" s="2" t="s">
        <v>186</v>
      </c>
      <c r="G185" s="2">
        <v>2.0</v>
      </c>
      <c r="H185" s="2" t="s">
        <v>188</v>
      </c>
      <c r="I185" s="3">
        <v>45684.0</v>
      </c>
      <c r="L185" s="3">
        <v>45854.0</v>
      </c>
      <c r="N185" s="2"/>
      <c r="O185" s="2">
        <v>66.0</v>
      </c>
      <c r="P185" s="2">
        <v>48.0</v>
      </c>
      <c r="X185" s="2"/>
      <c r="Y185" s="2">
        <v>13.0</v>
      </c>
      <c r="Z185" s="12">
        <f>sum(O185:Y185)</f>
        <v>127</v>
      </c>
      <c r="AA185" s="25" t="str">
        <f>Z185/#REF!</f>
        <v>#REF!</v>
      </c>
      <c r="AB185" s="2">
        <v>2.0</v>
      </c>
      <c r="AC185" s="6" t="str">
        <f>AA185*AB185</f>
        <v>#REF!</v>
      </c>
      <c r="AD185" s="2">
        <v>0.416</v>
      </c>
      <c r="AE185" s="2">
        <v>0.01461</v>
      </c>
      <c r="AG185" s="2">
        <f t="shared" si="1"/>
        <v>0.01461</v>
      </c>
      <c r="AH185" s="8">
        <f t="shared" ref="AH185:AH187" si="38">AD185+AG185</f>
        <v>0.43061</v>
      </c>
    </row>
    <row r="186">
      <c r="A186" s="2">
        <v>2.0</v>
      </c>
      <c r="B186" s="2" t="s">
        <v>76</v>
      </c>
      <c r="C186" s="2" t="s">
        <v>77</v>
      </c>
      <c r="D186" s="2" t="s">
        <v>86</v>
      </c>
      <c r="E186" s="2" t="s">
        <v>87</v>
      </c>
      <c r="F186" s="2" t="s">
        <v>186</v>
      </c>
      <c r="G186" s="2">
        <v>3.0</v>
      </c>
      <c r="H186" s="2" t="s">
        <v>189</v>
      </c>
      <c r="I186" s="3">
        <v>45684.0</v>
      </c>
      <c r="AA186" s="25"/>
      <c r="AB186" s="2" t="s">
        <v>82</v>
      </c>
      <c r="AC186" s="6"/>
      <c r="AD186" s="2">
        <v>0.02114</v>
      </c>
      <c r="AG186" s="2">
        <f t="shared" si="1"/>
        <v>0</v>
      </c>
      <c r="AH186" s="8">
        <f t="shared" si="38"/>
        <v>0.02114</v>
      </c>
    </row>
    <row r="187">
      <c r="A187" s="2">
        <v>2.0</v>
      </c>
      <c r="B187" s="2" t="s">
        <v>76</v>
      </c>
      <c r="C187" s="2" t="s">
        <v>77</v>
      </c>
      <c r="D187" s="2" t="s">
        <v>86</v>
      </c>
      <c r="E187" s="2" t="s">
        <v>84</v>
      </c>
      <c r="F187" s="2" t="s">
        <v>186</v>
      </c>
      <c r="G187" s="2">
        <v>4.0</v>
      </c>
      <c r="H187" s="2" t="s">
        <v>190</v>
      </c>
      <c r="I187" s="3">
        <v>45684.0</v>
      </c>
      <c r="AA187" s="25"/>
      <c r="AB187" s="2" t="s">
        <v>82</v>
      </c>
      <c r="AC187" s="6"/>
      <c r="AD187" s="2">
        <v>0.10399</v>
      </c>
      <c r="AG187" s="2">
        <f t="shared" si="1"/>
        <v>0</v>
      </c>
      <c r="AH187" s="8">
        <f t="shared" si="38"/>
        <v>0.10399</v>
      </c>
    </row>
    <row r="188">
      <c r="A188" s="14">
        <v>2.0</v>
      </c>
      <c r="B188" s="14" t="s">
        <v>76</v>
      </c>
      <c r="C188" s="14" t="s">
        <v>77</v>
      </c>
      <c r="D188" s="14" t="s">
        <v>86</v>
      </c>
      <c r="E188" s="14" t="s">
        <v>87</v>
      </c>
      <c r="F188" s="14" t="s">
        <v>186</v>
      </c>
      <c r="G188" s="14">
        <v>5.0</v>
      </c>
      <c r="H188" s="14" t="s">
        <v>191</v>
      </c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27"/>
      <c r="AB188" s="14" t="s">
        <v>82</v>
      </c>
      <c r="AC188" s="19"/>
      <c r="AD188" s="17"/>
      <c r="AE188" s="17"/>
      <c r="AF188" s="17"/>
      <c r="AG188" s="2">
        <f t="shared" si="1"/>
        <v>0</v>
      </c>
      <c r="AH188" s="8"/>
      <c r="AI188" s="14" t="s">
        <v>146</v>
      </c>
    </row>
    <row r="189">
      <c r="A189" s="2">
        <v>2.0</v>
      </c>
      <c r="B189" s="2" t="s">
        <v>76</v>
      </c>
      <c r="C189" s="2" t="s">
        <v>77</v>
      </c>
      <c r="D189" s="2" t="s">
        <v>78</v>
      </c>
      <c r="E189" s="2" t="s">
        <v>90</v>
      </c>
      <c r="F189" s="2" t="s">
        <v>186</v>
      </c>
      <c r="G189" s="2">
        <v>6.0</v>
      </c>
      <c r="H189" s="2" t="s">
        <v>192</v>
      </c>
      <c r="I189" s="3">
        <v>45684.0</v>
      </c>
      <c r="L189" s="3">
        <v>45854.0</v>
      </c>
      <c r="N189" s="2"/>
      <c r="O189" s="2">
        <v>84.0</v>
      </c>
      <c r="P189" s="2">
        <v>59.0</v>
      </c>
      <c r="Q189" s="2">
        <v>85.0</v>
      </c>
      <c r="Z189" s="12">
        <f t="shared" ref="Z189:Z192" si="39">sum(O189:Y189)</f>
        <v>228</v>
      </c>
      <c r="AA189" s="25" t="str">
        <f t="shared" ref="AA189:AA192" si="40">Z189/#REF!</f>
        <v>#REF!</v>
      </c>
      <c r="AB189" s="2">
        <v>3.0</v>
      </c>
      <c r="AC189" s="6" t="str">
        <f t="shared" ref="AC189:AC192" si="41">AA189*AB189</f>
        <v>#REF!</v>
      </c>
      <c r="AD189" s="2">
        <v>0.51285</v>
      </c>
      <c r="AE189" s="2">
        <v>0.02856</v>
      </c>
      <c r="AF189" s="2">
        <v>0.00405</v>
      </c>
      <c r="AG189" s="2">
        <f t="shared" si="1"/>
        <v>0.03261</v>
      </c>
      <c r="AH189" s="8">
        <f>AD189+AG189</f>
        <v>0.54546</v>
      </c>
    </row>
    <row r="190">
      <c r="A190" s="14">
        <v>2.0</v>
      </c>
      <c r="B190" s="14" t="s">
        <v>76</v>
      </c>
      <c r="C190" s="14" t="s">
        <v>83</v>
      </c>
      <c r="D190" s="14" t="s">
        <v>86</v>
      </c>
      <c r="E190" s="14" t="s">
        <v>79</v>
      </c>
      <c r="F190" s="14" t="s">
        <v>186</v>
      </c>
      <c r="G190" s="14">
        <v>7.0</v>
      </c>
      <c r="H190" s="14" t="s">
        <v>194</v>
      </c>
      <c r="I190" s="17"/>
      <c r="J190" s="17"/>
      <c r="K190" s="17"/>
      <c r="L190" s="15">
        <v>45854.0</v>
      </c>
      <c r="M190" s="17"/>
      <c r="N190" s="14"/>
      <c r="O190" s="14">
        <v>103.0</v>
      </c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>
        <f t="shared" si="39"/>
        <v>103</v>
      </c>
      <c r="AA190" s="27" t="str">
        <f t="shared" si="40"/>
        <v>#REF!</v>
      </c>
      <c r="AB190" s="14">
        <v>1.0</v>
      </c>
      <c r="AC190" s="19" t="str">
        <f t="shared" si="41"/>
        <v>#REF!</v>
      </c>
      <c r="AD190" s="17"/>
      <c r="AE190" s="14">
        <v>0.01155</v>
      </c>
      <c r="AF190" s="17"/>
      <c r="AG190" s="2">
        <f t="shared" si="1"/>
        <v>0.01155</v>
      </c>
      <c r="AH190" s="8"/>
      <c r="AI190" s="14" t="s">
        <v>204</v>
      </c>
    </row>
    <row r="191">
      <c r="A191" s="2">
        <v>2.0</v>
      </c>
      <c r="B191" s="2" t="s">
        <v>76</v>
      </c>
      <c r="C191" s="2" t="s">
        <v>83</v>
      </c>
      <c r="D191" s="2" t="s">
        <v>78</v>
      </c>
      <c r="E191" s="2" t="s">
        <v>90</v>
      </c>
      <c r="F191" s="2" t="s">
        <v>186</v>
      </c>
      <c r="G191" s="2">
        <v>8.0</v>
      </c>
      <c r="H191" s="2" t="s">
        <v>195</v>
      </c>
      <c r="I191" s="3">
        <v>45684.0</v>
      </c>
      <c r="L191" s="3">
        <v>45854.0</v>
      </c>
      <c r="N191" s="2"/>
      <c r="O191" s="2">
        <v>95.0</v>
      </c>
      <c r="P191" s="2">
        <v>73.0</v>
      </c>
      <c r="Q191" s="2">
        <v>88.0</v>
      </c>
      <c r="R191" s="2">
        <v>61.0</v>
      </c>
      <c r="X191" s="2"/>
      <c r="Y191" s="2">
        <v>6.0</v>
      </c>
      <c r="Z191" s="12">
        <f t="shared" si="39"/>
        <v>323</v>
      </c>
      <c r="AA191" s="25" t="str">
        <f t="shared" si="40"/>
        <v>#REF!</v>
      </c>
      <c r="AB191" s="2">
        <v>8.0</v>
      </c>
      <c r="AC191" s="6" t="str">
        <f t="shared" si="41"/>
        <v>#REF!</v>
      </c>
      <c r="AD191" s="2">
        <v>0.39398</v>
      </c>
      <c r="AE191" s="2">
        <v>0.03634</v>
      </c>
      <c r="AF191" s="2">
        <v>0.03604</v>
      </c>
      <c r="AG191" s="2">
        <f t="shared" si="1"/>
        <v>0.07238</v>
      </c>
      <c r="AH191" s="8">
        <f t="shared" ref="AH191:AH192" si="42">AD191+AG191</f>
        <v>0.46636</v>
      </c>
    </row>
    <row r="192">
      <c r="A192" s="2">
        <v>2.0</v>
      </c>
      <c r="B192" s="2" t="s">
        <v>76</v>
      </c>
      <c r="C192" s="2" t="s">
        <v>77</v>
      </c>
      <c r="D192" s="2" t="s">
        <v>78</v>
      </c>
      <c r="E192" s="2" t="s">
        <v>99</v>
      </c>
      <c r="F192" s="2" t="s">
        <v>186</v>
      </c>
      <c r="G192" s="2">
        <v>9.0</v>
      </c>
      <c r="H192" s="2" t="s">
        <v>196</v>
      </c>
      <c r="I192" s="3">
        <v>45684.0</v>
      </c>
      <c r="L192" s="3">
        <v>45854.0</v>
      </c>
      <c r="N192" s="2"/>
      <c r="O192" s="2">
        <v>56.0</v>
      </c>
      <c r="P192" s="2">
        <v>59.0</v>
      </c>
      <c r="Q192" s="2">
        <v>76.0</v>
      </c>
      <c r="R192" s="2">
        <v>64.0</v>
      </c>
      <c r="Z192" s="12">
        <f t="shared" si="39"/>
        <v>255</v>
      </c>
      <c r="AA192" s="25" t="str">
        <f t="shared" si="40"/>
        <v>#REF!</v>
      </c>
      <c r="AB192" s="2">
        <v>4.0</v>
      </c>
      <c r="AC192" s="6" t="str">
        <f t="shared" si="41"/>
        <v>#REF!</v>
      </c>
      <c r="AD192" s="2">
        <v>0.31443</v>
      </c>
      <c r="AE192" s="2">
        <v>0.02305</v>
      </c>
      <c r="AF192" s="2">
        <v>0.00342</v>
      </c>
      <c r="AG192" s="2">
        <f t="shared" si="1"/>
        <v>0.02647</v>
      </c>
      <c r="AH192" s="8">
        <f t="shared" si="42"/>
        <v>0.3409</v>
      </c>
    </row>
    <row r="193">
      <c r="A193" s="14">
        <v>2.0</v>
      </c>
      <c r="B193" s="14" t="s">
        <v>76</v>
      </c>
      <c r="C193" s="14" t="s">
        <v>83</v>
      </c>
      <c r="D193" s="14" t="s">
        <v>86</v>
      </c>
      <c r="E193" s="14" t="s">
        <v>92</v>
      </c>
      <c r="F193" s="14" t="s">
        <v>186</v>
      </c>
      <c r="G193" s="14">
        <v>10.0</v>
      </c>
      <c r="H193" s="14" t="s">
        <v>197</v>
      </c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27"/>
      <c r="AB193" s="14" t="s">
        <v>82</v>
      </c>
      <c r="AC193" s="27"/>
      <c r="AD193" s="17"/>
      <c r="AE193" s="17"/>
      <c r="AF193" s="17"/>
      <c r="AG193" s="2">
        <f t="shared" si="1"/>
        <v>0</v>
      </c>
      <c r="AH193" s="8"/>
      <c r="AI193" s="14" t="s">
        <v>146</v>
      </c>
    </row>
    <row r="194">
      <c r="A194" s="14">
        <v>2.0</v>
      </c>
      <c r="B194" s="14" t="s">
        <v>76</v>
      </c>
      <c r="C194" s="14" t="s">
        <v>83</v>
      </c>
      <c r="D194" s="14" t="s">
        <v>86</v>
      </c>
      <c r="E194" s="14" t="s">
        <v>92</v>
      </c>
      <c r="F194" s="14" t="s">
        <v>186</v>
      </c>
      <c r="G194" s="14">
        <v>11.0</v>
      </c>
      <c r="H194" s="14" t="s">
        <v>198</v>
      </c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27"/>
      <c r="AB194" s="14" t="s">
        <v>82</v>
      </c>
      <c r="AC194" s="27"/>
      <c r="AD194" s="17"/>
      <c r="AE194" s="17"/>
      <c r="AF194" s="17"/>
      <c r="AG194" s="2">
        <f t="shared" si="1"/>
        <v>0</v>
      </c>
      <c r="AH194" s="8"/>
      <c r="AI194" s="14" t="s">
        <v>146</v>
      </c>
    </row>
    <row r="195">
      <c r="A195" s="2">
        <v>2.0</v>
      </c>
      <c r="B195" s="2" t="s">
        <v>76</v>
      </c>
      <c r="C195" s="2" t="s">
        <v>77</v>
      </c>
      <c r="D195" s="2" t="s">
        <v>78</v>
      </c>
      <c r="E195" s="2" t="s">
        <v>87</v>
      </c>
      <c r="F195" s="2" t="s">
        <v>186</v>
      </c>
      <c r="G195" s="2">
        <v>12.0</v>
      </c>
      <c r="H195" s="2" t="s">
        <v>199</v>
      </c>
      <c r="I195" s="3">
        <v>45684.0</v>
      </c>
      <c r="AA195" s="25"/>
      <c r="AB195" s="2" t="s">
        <v>82</v>
      </c>
      <c r="AC195" s="25"/>
      <c r="AD195" s="2">
        <v>0.00279</v>
      </c>
      <c r="AG195" s="2">
        <f t="shared" si="1"/>
        <v>0</v>
      </c>
      <c r="AH195" s="8">
        <f>AD195+AG195</f>
        <v>0.00279</v>
      </c>
    </row>
    <row r="196">
      <c r="A196" s="14">
        <v>2.0</v>
      </c>
      <c r="B196" s="14" t="s">
        <v>76</v>
      </c>
      <c r="C196" s="14" t="s">
        <v>77</v>
      </c>
      <c r="D196" s="14" t="s">
        <v>86</v>
      </c>
      <c r="E196" s="14" t="s">
        <v>90</v>
      </c>
      <c r="F196" s="14" t="s">
        <v>186</v>
      </c>
      <c r="G196" s="14">
        <v>13.0</v>
      </c>
      <c r="H196" s="14" t="s">
        <v>200</v>
      </c>
      <c r="I196" s="17"/>
      <c r="J196" s="14" t="s">
        <v>203</v>
      </c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27"/>
      <c r="AB196" s="14" t="s">
        <v>82</v>
      </c>
      <c r="AC196" s="27"/>
      <c r="AD196" s="17"/>
      <c r="AE196" s="17"/>
      <c r="AF196" s="17"/>
      <c r="AG196" s="2">
        <f t="shared" si="1"/>
        <v>0</v>
      </c>
      <c r="AH196" s="8"/>
      <c r="AI196" s="14" t="s">
        <v>89</v>
      </c>
    </row>
    <row r="197">
      <c r="A197" s="14">
        <v>2.0</v>
      </c>
      <c r="B197" s="14" t="s">
        <v>76</v>
      </c>
      <c r="C197" s="14" t="s">
        <v>77</v>
      </c>
      <c r="D197" s="14" t="s">
        <v>78</v>
      </c>
      <c r="E197" s="14" t="s">
        <v>99</v>
      </c>
      <c r="F197" s="14" t="s">
        <v>186</v>
      </c>
      <c r="G197" s="14">
        <v>14.0</v>
      </c>
      <c r="H197" s="14" t="s">
        <v>201</v>
      </c>
      <c r="I197" s="15">
        <v>45684.0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27"/>
      <c r="AB197" s="14" t="s">
        <v>82</v>
      </c>
      <c r="AC197" s="27"/>
      <c r="AD197" s="17"/>
      <c r="AE197" s="17"/>
      <c r="AF197" s="17"/>
      <c r="AG197" s="2">
        <f t="shared" si="1"/>
        <v>0</v>
      </c>
      <c r="AH197" s="8"/>
      <c r="AI197" s="14" t="s">
        <v>89</v>
      </c>
    </row>
    <row r="198">
      <c r="A198" s="2">
        <v>1.0</v>
      </c>
      <c r="B198" s="2" t="s">
        <v>205</v>
      </c>
      <c r="C198" s="2" t="s">
        <v>206</v>
      </c>
      <c r="D198" s="2" t="s">
        <v>78</v>
      </c>
      <c r="E198" s="33" t="s">
        <v>84</v>
      </c>
      <c r="F198" s="2" t="s">
        <v>80</v>
      </c>
      <c r="G198" s="2">
        <v>1.0</v>
      </c>
      <c r="H198" s="2" t="s">
        <v>81</v>
      </c>
      <c r="I198" s="23">
        <v>45700.0</v>
      </c>
      <c r="AA198" s="25"/>
      <c r="AB198" s="2"/>
      <c r="AC198" s="25"/>
      <c r="AD198" s="2">
        <v>0.24433</v>
      </c>
      <c r="AG198" s="2">
        <f t="shared" si="1"/>
        <v>0</v>
      </c>
      <c r="AH198" s="8">
        <f>AD198+AG198</f>
        <v>0.24433</v>
      </c>
      <c r="AI198" s="2"/>
    </row>
    <row r="199">
      <c r="A199" s="2">
        <v>1.0</v>
      </c>
      <c r="B199" s="2" t="s">
        <v>205</v>
      </c>
      <c r="C199" s="2" t="s">
        <v>207</v>
      </c>
      <c r="D199" s="2" t="s">
        <v>86</v>
      </c>
      <c r="E199" s="33" t="s">
        <v>92</v>
      </c>
      <c r="F199" s="2" t="s">
        <v>80</v>
      </c>
      <c r="G199" s="2">
        <v>2.0</v>
      </c>
      <c r="H199" s="2" t="s">
        <v>85</v>
      </c>
      <c r="I199" s="2"/>
      <c r="AA199" s="25"/>
      <c r="AB199" s="2"/>
      <c r="AC199" s="25"/>
      <c r="AG199" s="2">
        <f t="shared" si="1"/>
        <v>0</v>
      </c>
      <c r="AH199" s="8"/>
      <c r="AI199" s="2"/>
    </row>
    <row r="200">
      <c r="A200" s="2">
        <v>1.0</v>
      </c>
      <c r="B200" s="2" t="s">
        <v>205</v>
      </c>
      <c r="C200" s="2" t="s">
        <v>207</v>
      </c>
      <c r="D200" s="2" t="s">
        <v>86</v>
      </c>
      <c r="E200" s="33" t="s">
        <v>87</v>
      </c>
      <c r="F200" s="2" t="s">
        <v>80</v>
      </c>
      <c r="G200" s="2">
        <v>3.0</v>
      </c>
      <c r="H200" s="2" t="s">
        <v>88</v>
      </c>
      <c r="I200" s="2"/>
      <c r="AA200" s="25"/>
      <c r="AB200" s="2"/>
      <c r="AC200" s="25"/>
      <c r="AG200" s="2">
        <f t="shared" si="1"/>
        <v>0</v>
      </c>
      <c r="AH200" s="8"/>
      <c r="AI200" s="2"/>
    </row>
    <row r="201">
      <c r="A201" s="2">
        <v>1.0</v>
      </c>
      <c r="B201" s="2" t="s">
        <v>205</v>
      </c>
      <c r="C201" s="2" t="s">
        <v>206</v>
      </c>
      <c r="D201" s="2" t="s">
        <v>78</v>
      </c>
      <c r="E201" s="33" t="s">
        <v>79</v>
      </c>
      <c r="F201" s="2" t="s">
        <v>80</v>
      </c>
      <c r="G201" s="2">
        <v>4.0</v>
      </c>
      <c r="H201" s="2" t="s">
        <v>91</v>
      </c>
      <c r="I201" s="23">
        <v>45700.0</v>
      </c>
      <c r="AA201" s="25"/>
      <c r="AB201" s="2"/>
      <c r="AC201" s="25"/>
      <c r="AD201" s="2">
        <v>0.15529</v>
      </c>
      <c r="AG201" s="2">
        <f t="shared" si="1"/>
        <v>0</v>
      </c>
      <c r="AH201" s="8">
        <f t="shared" ref="AH201:AH203" si="43">AD201+AG201</f>
        <v>0.15529</v>
      </c>
      <c r="AI201" s="2"/>
    </row>
    <row r="202">
      <c r="A202" s="2">
        <v>1.0</v>
      </c>
      <c r="B202" s="2" t="s">
        <v>205</v>
      </c>
      <c r="C202" s="2" t="s">
        <v>207</v>
      </c>
      <c r="D202" s="2" t="s">
        <v>78</v>
      </c>
      <c r="E202" s="33" t="s">
        <v>106</v>
      </c>
      <c r="F202" s="2" t="s">
        <v>80</v>
      </c>
      <c r="G202" s="2">
        <v>5.0</v>
      </c>
      <c r="H202" s="2" t="s">
        <v>93</v>
      </c>
      <c r="I202" s="23">
        <v>45700.0</v>
      </c>
      <c r="AA202" s="25"/>
      <c r="AB202" s="2"/>
      <c r="AC202" s="25"/>
      <c r="AD202" s="2">
        <v>0.15463</v>
      </c>
      <c r="AG202" s="2">
        <f t="shared" si="1"/>
        <v>0</v>
      </c>
      <c r="AH202" s="8">
        <f t="shared" si="43"/>
        <v>0.15463</v>
      </c>
      <c r="AI202" s="2"/>
    </row>
    <row r="203">
      <c r="A203" s="2">
        <v>1.0</v>
      </c>
      <c r="B203" s="2" t="s">
        <v>205</v>
      </c>
      <c r="C203" s="2" t="s">
        <v>206</v>
      </c>
      <c r="D203" s="2" t="s">
        <v>78</v>
      </c>
      <c r="E203" s="33" t="s">
        <v>87</v>
      </c>
      <c r="F203" s="2" t="s">
        <v>80</v>
      </c>
      <c r="G203" s="2">
        <v>6.0</v>
      </c>
      <c r="H203" s="2" t="s">
        <v>94</v>
      </c>
      <c r="I203" s="23">
        <v>45700.0</v>
      </c>
      <c r="AA203" s="25"/>
      <c r="AB203" s="2"/>
      <c r="AC203" s="25"/>
      <c r="AD203" s="2">
        <v>0.1887</v>
      </c>
      <c r="AG203" s="2">
        <f t="shared" si="1"/>
        <v>0</v>
      </c>
      <c r="AH203" s="8">
        <f t="shared" si="43"/>
        <v>0.1887</v>
      </c>
      <c r="AI203" s="2"/>
    </row>
    <row r="204">
      <c r="A204" s="2">
        <v>1.0</v>
      </c>
      <c r="B204" s="2" t="s">
        <v>205</v>
      </c>
      <c r="C204" s="2" t="s">
        <v>206</v>
      </c>
      <c r="D204" s="2" t="s">
        <v>86</v>
      </c>
      <c r="E204" s="33" t="s">
        <v>79</v>
      </c>
      <c r="F204" s="2" t="s">
        <v>80</v>
      </c>
      <c r="G204" s="2">
        <v>7.0</v>
      </c>
      <c r="H204" s="2" t="s">
        <v>95</v>
      </c>
      <c r="I204" s="2"/>
      <c r="AA204" s="25"/>
      <c r="AB204" s="2"/>
      <c r="AC204" s="25"/>
      <c r="AG204" s="2">
        <f t="shared" si="1"/>
        <v>0</v>
      </c>
      <c r="AH204" s="8"/>
      <c r="AI204" s="2"/>
    </row>
    <row r="205">
      <c r="A205" s="2">
        <v>1.0</v>
      </c>
      <c r="B205" s="2" t="s">
        <v>205</v>
      </c>
      <c r="C205" s="2" t="s">
        <v>206</v>
      </c>
      <c r="D205" s="2" t="s">
        <v>86</v>
      </c>
      <c r="E205" s="33" t="s">
        <v>79</v>
      </c>
      <c r="F205" s="2" t="s">
        <v>80</v>
      </c>
      <c r="G205" s="2">
        <v>8.0</v>
      </c>
      <c r="H205" s="2" t="s">
        <v>96</v>
      </c>
      <c r="I205" s="2"/>
      <c r="AA205" s="25"/>
      <c r="AB205" s="2"/>
      <c r="AC205" s="25"/>
      <c r="AG205" s="2">
        <f t="shared" si="1"/>
        <v>0</v>
      </c>
      <c r="AH205" s="8"/>
      <c r="AI205" s="2"/>
    </row>
    <row r="206">
      <c r="A206" s="2">
        <v>1.0</v>
      </c>
      <c r="B206" s="2" t="s">
        <v>205</v>
      </c>
      <c r="C206" s="2" t="s">
        <v>207</v>
      </c>
      <c r="D206" s="2" t="s">
        <v>86</v>
      </c>
      <c r="E206" s="33" t="s">
        <v>106</v>
      </c>
      <c r="F206" s="2" t="s">
        <v>80</v>
      </c>
      <c r="G206" s="2">
        <v>9.0</v>
      </c>
      <c r="H206" s="2" t="s">
        <v>97</v>
      </c>
      <c r="I206" s="2"/>
      <c r="AA206" s="25"/>
      <c r="AB206" s="2"/>
      <c r="AC206" s="25"/>
      <c r="AG206" s="2">
        <f t="shared" si="1"/>
        <v>0</v>
      </c>
      <c r="AH206" s="8"/>
      <c r="AI206" s="2"/>
    </row>
    <row r="207">
      <c r="A207" s="2">
        <v>1.0</v>
      </c>
      <c r="B207" s="2" t="s">
        <v>205</v>
      </c>
      <c r="C207" s="2" t="s">
        <v>206</v>
      </c>
      <c r="D207" s="2" t="s">
        <v>86</v>
      </c>
      <c r="E207" s="33" t="s">
        <v>79</v>
      </c>
      <c r="F207" s="2" t="s">
        <v>80</v>
      </c>
      <c r="G207" s="2">
        <v>10.0</v>
      </c>
      <c r="H207" s="2" t="s">
        <v>98</v>
      </c>
      <c r="I207" s="2"/>
      <c r="AA207" s="25"/>
      <c r="AB207" s="2"/>
      <c r="AC207" s="25"/>
      <c r="AG207" s="2">
        <f t="shared" si="1"/>
        <v>0</v>
      </c>
      <c r="AH207" s="8"/>
      <c r="AI207" s="2"/>
    </row>
    <row r="208">
      <c r="A208" s="2">
        <v>1.0</v>
      </c>
      <c r="B208" s="2" t="s">
        <v>205</v>
      </c>
      <c r="C208" s="2" t="s">
        <v>206</v>
      </c>
      <c r="D208" s="2" t="s">
        <v>86</v>
      </c>
      <c r="E208" s="33" t="s">
        <v>106</v>
      </c>
      <c r="F208" s="2" t="s">
        <v>80</v>
      </c>
      <c r="G208" s="2">
        <v>11.0</v>
      </c>
      <c r="H208" s="2" t="s">
        <v>100</v>
      </c>
      <c r="I208" s="2"/>
      <c r="AA208" s="25"/>
      <c r="AB208" s="2"/>
      <c r="AC208" s="25"/>
      <c r="AG208" s="2">
        <f t="shared" si="1"/>
        <v>0</v>
      </c>
      <c r="AH208" s="8"/>
      <c r="AI208" s="2"/>
    </row>
    <row r="209">
      <c r="A209" s="2">
        <v>1.0</v>
      </c>
      <c r="B209" s="2" t="s">
        <v>205</v>
      </c>
      <c r="C209" s="2" t="s">
        <v>206</v>
      </c>
      <c r="D209" s="2" t="s">
        <v>78</v>
      </c>
      <c r="E209" s="33" t="s">
        <v>106</v>
      </c>
      <c r="F209" s="2" t="s">
        <v>80</v>
      </c>
      <c r="G209" s="2">
        <v>12.0</v>
      </c>
      <c r="H209" s="2" t="s">
        <v>101</v>
      </c>
      <c r="I209" s="23">
        <v>45700.0</v>
      </c>
      <c r="AA209" s="25"/>
      <c r="AB209" s="2"/>
      <c r="AC209" s="25"/>
      <c r="AD209" s="2">
        <v>0.19286</v>
      </c>
      <c r="AG209" s="2">
        <f t="shared" si="1"/>
        <v>0</v>
      </c>
      <c r="AH209" s="8">
        <f>AD209+AG209</f>
        <v>0.19286</v>
      </c>
      <c r="AI209" s="2"/>
    </row>
    <row r="210">
      <c r="A210" s="2">
        <v>1.0</v>
      </c>
      <c r="B210" s="2" t="s">
        <v>205</v>
      </c>
      <c r="C210" s="2" t="s">
        <v>206</v>
      </c>
      <c r="D210" s="2" t="s">
        <v>86</v>
      </c>
      <c r="E210" s="33" t="s">
        <v>84</v>
      </c>
      <c r="F210" s="2" t="s">
        <v>80</v>
      </c>
      <c r="G210" s="2">
        <v>13.0</v>
      </c>
      <c r="H210" s="2" t="s">
        <v>102</v>
      </c>
      <c r="I210" s="2"/>
      <c r="AA210" s="25"/>
      <c r="AB210" s="2"/>
      <c r="AC210" s="25"/>
      <c r="AG210" s="2">
        <f t="shared" si="1"/>
        <v>0</v>
      </c>
      <c r="AH210" s="8"/>
      <c r="AI210" s="2"/>
    </row>
    <row r="211">
      <c r="A211" s="2">
        <v>1.0</v>
      </c>
      <c r="B211" s="2" t="s">
        <v>205</v>
      </c>
      <c r="C211" s="2" t="s">
        <v>207</v>
      </c>
      <c r="D211" s="2" t="s">
        <v>78</v>
      </c>
      <c r="E211" s="33" t="s">
        <v>90</v>
      </c>
      <c r="F211" s="2" t="s">
        <v>80</v>
      </c>
      <c r="G211" s="2">
        <v>14.0</v>
      </c>
      <c r="H211" s="2" t="s">
        <v>103</v>
      </c>
      <c r="I211" s="2"/>
      <c r="AA211" s="25"/>
      <c r="AB211" s="2"/>
      <c r="AC211" s="25"/>
      <c r="AG211" s="2">
        <f t="shared" si="1"/>
        <v>0</v>
      </c>
      <c r="AH211" s="8"/>
      <c r="AI211" s="2"/>
    </row>
    <row r="212">
      <c r="A212" s="2">
        <v>1.0</v>
      </c>
      <c r="B212" s="2" t="s">
        <v>205</v>
      </c>
      <c r="C212" s="2" t="s">
        <v>206</v>
      </c>
      <c r="D212" s="2" t="s">
        <v>78</v>
      </c>
      <c r="E212" s="33" t="s">
        <v>90</v>
      </c>
      <c r="F212" s="2" t="s">
        <v>104</v>
      </c>
      <c r="G212" s="2">
        <v>1.0</v>
      </c>
      <c r="H212" s="2" t="s">
        <v>105</v>
      </c>
      <c r="I212" s="23">
        <v>45700.0</v>
      </c>
      <c r="AA212" s="25"/>
      <c r="AB212" s="2"/>
      <c r="AC212" s="25"/>
      <c r="AD212" s="2">
        <v>0.28271</v>
      </c>
      <c r="AG212" s="2">
        <f t="shared" si="1"/>
        <v>0</v>
      </c>
      <c r="AH212" s="8">
        <f t="shared" ref="AH212:AH215" si="44">AD212+AG212</f>
        <v>0.28271</v>
      </c>
      <c r="AI212" s="2"/>
    </row>
    <row r="213">
      <c r="A213" s="2">
        <v>1.0</v>
      </c>
      <c r="B213" s="2" t="s">
        <v>205</v>
      </c>
      <c r="C213" s="2" t="s">
        <v>207</v>
      </c>
      <c r="D213" s="2" t="s">
        <v>78</v>
      </c>
      <c r="E213" s="33" t="s">
        <v>90</v>
      </c>
      <c r="F213" s="2" t="s">
        <v>104</v>
      </c>
      <c r="G213" s="2">
        <v>2.0</v>
      </c>
      <c r="H213" s="2" t="s">
        <v>107</v>
      </c>
      <c r="I213" s="23">
        <v>45700.0</v>
      </c>
      <c r="AA213" s="25"/>
      <c r="AB213" s="2"/>
      <c r="AC213" s="25"/>
      <c r="AD213" s="2">
        <v>0.36245</v>
      </c>
      <c r="AG213" s="2">
        <f t="shared" si="1"/>
        <v>0</v>
      </c>
      <c r="AH213" s="8">
        <f t="shared" si="44"/>
        <v>0.36245</v>
      </c>
      <c r="AI213" s="2"/>
    </row>
    <row r="214">
      <c r="A214" s="2">
        <v>1.0</v>
      </c>
      <c r="B214" s="2" t="s">
        <v>205</v>
      </c>
      <c r="C214" s="2" t="s">
        <v>207</v>
      </c>
      <c r="D214" s="2" t="s">
        <v>78</v>
      </c>
      <c r="E214" s="33" t="s">
        <v>87</v>
      </c>
      <c r="F214" s="2" t="s">
        <v>104</v>
      </c>
      <c r="G214" s="2">
        <v>3.0</v>
      </c>
      <c r="H214" s="2" t="s">
        <v>108</v>
      </c>
      <c r="I214" s="23">
        <v>45700.0</v>
      </c>
      <c r="AA214" s="25"/>
      <c r="AB214" s="2"/>
      <c r="AC214" s="25"/>
      <c r="AD214" s="2">
        <v>0.2624</v>
      </c>
      <c r="AG214" s="2">
        <f t="shared" si="1"/>
        <v>0</v>
      </c>
      <c r="AH214" s="8">
        <f t="shared" si="44"/>
        <v>0.2624</v>
      </c>
      <c r="AI214" s="2"/>
    </row>
    <row r="215">
      <c r="A215" s="2">
        <v>1.0</v>
      </c>
      <c r="B215" s="2" t="s">
        <v>205</v>
      </c>
      <c r="C215" s="2" t="s">
        <v>207</v>
      </c>
      <c r="D215" s="2" t="s">
        <v>78</v>
      </c>
      <c r="E215" s="33" t="s">
        <v>87</v>
      </c>
      <c r="F215" s="2" t="s">
        <v>104</v>
      </c>
      <c r="G215" s="2">
        <v>4.0</v>
      </c>
      <c r="H215" s="2" t="s">
        <v>109</v>
      </c>
      <c r="I215" s="23">
        <v>45700.0</v>
      </c>
      <c r="AA215" s="25"/>
      <c r="AB215" s="2"/>
      <c r="AC215" s="25"/>
      <c r="AD215" s="2">
        <v>0.35188</v>
      </c>
      <c r="AG215" s="2">
        <f t="shared" si="1"/>
        <v>0</v>
      </c>
      <c r="AH215" s="8">
        <f t="shared" si="44"/>
        <v>0.35188</v>
      </c>
      <c r="AI215" s="2"/>
    </row>
    <row r="216">
      <c r="A216" s="2">
        <v>1.0</v>
      </c>
      <c r="B216" s="2" t="s">
        <v>205</v>
      </c>
      <c r="C216" s="2" t="s">
        <v>206</v>
      </c>
      <c r="D216" s="2" t="s">
        <v>86</v>
      </c>
      <c r="E216" s="33" t="s">
        <v>92</v>
      </c>
      <c r="F216" s="2" t="s">
        <v>104</v>
      </c>
      <c r="G216" s="2">
        <v>5.0</v>
      </c>
      <c r="H216" s="2" t="s">
        <v>110</v>
      </c>
      <c r="I216" s="2"/>
      <c r="AA216" s="25"/>
      <c r="AB216" s="2"/>
      <c r="AC216" s="25"/>
      <c r="AG216" s="2">
        <f t="shared" si="1"/>
        <v>0</v>
      </c>
      <c r="AH216" s="8"/>
      <c r="AI216" s="2"/>
    </row>
    <row r="217">
      <c r="A217" s="2">
        <v>1.0</v>
      </c>
      <c r="B217" s="2" t="s">
        <v>205</v>
      </c>
      <c r="C217" s="2" t="s">
        <v>207</v>
      </c>
      <c r="D217" s="2" t="s">
        <v>78</v>
      </c>
      <c r="E217" s="33" t="s">
        <v>99</v>
      </c>
      <c r="F217" s="2" t="s">
        <v>104</v>
      </c>
      <c r="G217" s="2">
        <v>6.0</v>
      </c>
      <c r="H217" s="2" t="s">
        <v>111</v>
      </c>
      <c r="I217" s="23">
        <v>45700.0</v>
      </c>
      <c r="AA217" s="25"/>
      <c r="AB217" s="2"/>
      <c r="AC217" s="25"/>
      <c r="AD217" s="2">
        <v>0.1273</v>
      </c>
      <c r="AG217" s="2">
        <f t="shared" si="1"/>
        <v>0</v>
      </c>
      <c r="AH217" s="8">
        <f t="shared" ref="AH217:AH220" si="45">AD217+AG217</f>
        <v>0.1273</v>
      </c>
      <c r="AI217" s="2"/>
    </row>
    <row r="218">
      <c r="A218" s="2">
        <v>1.0</v>
      </c>
      <c r="B218" s="2" t="s">
        <v>205</v>
      </c>
      <c r="C218" s="2" t="s">
        <v>206</v>
      </c>
      <c r="D218" s="2" t="s">
        <v>78</v>
      </c>
      <c r="E218" s="33" t="s">
        <v>79</v>
      </c>
      <c r="F218" s="2" t="s">
        <v>104</v>
      </c>
      <c r="G218" s="2">
        <v>7.0</v>
      </c>
      <c r="H218" s="2" t="s">
        <v>112</v>
      </c>
      <c r="I218" s="23">
        <v>45700.0</v>
      </c>
      <c r="AA218" s="25"/>
      <c r="AB218" s="2"/>
      <c r="AC218" s="25"/>
      <c r="AD218" s="2">
        <v>0.33621</v>
      </c>
      <c r="AG218" s="2">
        <f t="shared" si="1"/>
        <v>0</v>
      </c>
      <c r="AH218" s="8">
        <f t="shared" si="45"/>
        <v>0.33621</v>
      </c>
      <c r="AI218" s="2"/>
    </row>
    <row r="219">
      <c r="A219" s="2">
        <v>1.0</v>
      </c>
      <c r="B219" s="2" t="s">
        <v>205</v>
      </c>
      <c r="C219" s="2" t="s">
        <v>207</v>
      </c>
      <c r="D219" s="2" t="s">
        <v>78</v>
      </c>
      <c r="E219" s="33" t="s">
        <v>87</v>
      </c>
      <c r="F219" s="2" t="s">
        <v>104</v>
      </c>
      <c r="G219" s="2">
        <v>8.0</v>
      </c>
      <c r="H219" s="2" t="s">
        <v>113</v>
      </c>
      <c r="I219" s="23">
        <v>45700.0</v>
      </c>
      <c r="AA219" s="25"/>
      <c r="AB219" s="2"/>
      <c r="AC219" s="25"/>
      <c r="AD219" s="2">
        <v>0.21473</v>
      </c>
      <c r="AG219" s="2">
        <f t="shared" si="1"/>
        <v>0</v>
      </c>
      <c r="AH219" s="8">
        <f t="shared" si="45"/>
        <v>0.21473</v>
      </c>
      <c r="AI219" s="2"/>
    </row>
    <row r="220">
      <c r="A220" s="2">
        <v>1.0</v>
      </c>
      <c r="B220" s="2" t="s">
        <v>205</v>
      </c>
      <c r="C220" s="2" t="s">
        <v>207</v>
      </c>
      <c r="D220" s="2" t="s">
        <v>78</v>
      </c>
      <c r="E220" s="33" t="s">
        <v>92</v>
      </c>
      <c r="F220" s="2" t="s">
        <v>104</v>
      </c>
      <c r="G220" s="2">
        <v>9.0</v>
      </c>
      <c r="H220" s="2" t="s">
        <v>114</v>
      </c>
      <c r="I220" s="23">
        <v>45700.0</v>
      </c>
      <c r="AA220" s="25"/>
      <c r="AB220" s="2"/>
      <c r="AC220" s="25"/>
      <c r="AD220" s="2">
        <v>0.12711</v>
      </c>
      <c r="AG220" s="2">
        <f t="shared" si="1"/>
        <v>0</v>
      </c>
      <c r="AH220" s="8">
        <f t="shared" si="45"/>
        <v>0.12711</v>
      </c>
      <c r="AI220" s="2"/>
    </row>
    <row r="221">
      <c r="A221" s="2">
        <v>1.0</v>
      </c>
      <c r="B221" s="2" t="s">
        <v>205</v>
      </c>
      <c r="C221" s="2" t="s">
        <v>206</v>
      </c>
      <c r="D221" s="2" t="s">
        <v>86</v>
      </c>
      <c r="E221" s="33" t="s">
        <v>99</v>
      </c>
      <c r="F221" s="2" t="s">
        <v>104</v>
      </c>
      <c r="G221" s="2">
        <v>10.0</v>
      </c>
      <c r="H221" s="2" t="s">
        <v>115</v>
      </c>
      <c r="I221" s="2"/>
      <c r="AA221" s="25"/>
      <c r="AB221" s="2"/>
      <c r="AC221" s="25"/>
      <c r="AG221" s="2">
        <f t="shared" si="1"/>
        <v>0</v>
      </c>
      <c r="AH221" s="8"/>
      <c r="AI221" s="2"/>
    </row>
    <row r="222">
      <c r="A222" s="2">
        <v>1.0</v>
      </c>
      <c r="B222" s="2" t="s">
        <v>205</v>
      </c>
      <c r="C222" s="2" t="s">
        <v>206</v>
      </c>
      <c r="D222" s="2" t="s">
        <v>86</v>
      </c>
      <c r="E222" s="33" t="s">
        <v>84</v>
      </c>
      <c r="F222" s="2" t="s">
        <v>104</v>
      </c>
      <c r="G222" s="2">
        <v>11.0</v>
      </c>
      <c r="H222" s="2" t="s">
        <v>116</v>
      </c>
      <c r="I222" s="2"/>
      <c r="AA222" s="25"/>
      <c r="AB222" s="2"/>
      <c r="AC222" s="25"/>
      <c r="AG222" s="2">
        <f t="shared" si="1"/>
        <v>0</v>
      </c>
      <c r="AH222" s="8"/>
      <c r="AI222" s="2"/>
    </row>
    <row r="223">
      <c r="A223" s="2">
        <v>1.0</v>
      </c>
      <c r="B223" s="2" t="s">
        <v>205</v>
      </c>
      <c r="C223" s="2" t="s">
        <v>207</v>
      </c>
      <c r="D223" s="2" t="s">
        <v>78</v>
      </c>
      <c r="E223" s="33" t="s">
        <v>106</v>
      </c>
      <c r="F223" s="2" t="s">
        <v>104</v>
      </c>
      <c r="G223" s="2">
        <v>12.0</v>
      </c>
      <c r="H223" s="2" t="s">
        <v>117</v>
      </c>
      <c r="I223" s="2"/>
      <c r="AA223" s="25"/>
      <c r="AB223" s="2"/>
      <c r="AC223" s="25"/>
      <c r="AG223" s="2">
        <f t="shared" si="1"/>
        <v>0</v>
      </c>
      <c r="AH223" s="8"/>
      <c r="AI223" s="2"/>
    </row>
    <row r="224">
      <c r="A224" s="2">
        <v>1.0</v>
      </c>
      <c r="B224" s="2" t="s">
        <v>205</v>
      </c>
      <c r="C224" s="2" t="s">
        <v>206</v>
      </c>
      <c r="D224" s="2" t="s">
        <v>86</v>
      </c>
      <c r="E224" s="33" t="s">
        <v>90</v>
      </c>
      <c r="F224" s="2" t="s">
        <v>104</v>
      </c>
      <c r="G224" s="2">
        <v>13.0</v>
      </c>
      <c r="H224" s="2" t="s">
        <v>118</v>
      </c>
      <c r="I224" s="2"/>
      <c r="AA224" s="25"/>
      <c r="AB224" s="2"/>
      <c r="AC224" s="25"/>
      <c r="AG224" s="2">
        <f t="shared" si="1"/>
        <v>0</v>
      </c>
      <c r="AH224" s="8"/>
      <c r="AI224" s="2"/>
    </row>
    <row r="225">
      <c r="A225" s="2">
        <v>1.0</v>
      </c>
      <c r="B225" s="2" t="s">
        <v>205</v>
      </c>
      <c r="C225" s="2" t="s">
        <v>207</v>
      </c>
      <c r="D225" s="2" t="s">
        <v>78</v>
      </c>
      <c r="E225" s="33" t="s">
        <v>79</v>
      </c>
      <c r="F225" s="2" t="s">
        <v>104</v>
      </c>
      <c r="G225" s="2">
        <v>14.0</v>
      </c>
      <c r="H225" s="2" t="s">
        <v>119</v>
      </c>
      <c r="I225" s="2"/>
      <c r="AA225" s="25"/>
      <c r="AB225" s="2"/>
      <c r="AC225" s="25"/>
      <c r="AD225" s="2" t="s">
        <v>203</v>
      </c>
      <c r="AG225" s="2">
        <f t="shared" si="1"/>
        <v>0</v>
      </c>
      <c r="AH225" s="8" t="str">
        <f t="shared" ref="AH225:AH227" si="46">AD225+AG225</f>
        <v>#VALUE!</v>
      </c>
      <c r="AI225" s="2"/>
    </row>
    <row r="226">
      <c r="A226" s="2">
        <v>1.0</v>
      </c>
      <c r="B226" s="2" t="s">
        <v>205</v>
      </c>
      <c r="C226" s="2" t="s">
        <v>207</v>
      </c>
      <c r="D226" s="2" t="s">
        <v>86</v>
      </c>
      <c r="E226" s="33" t="s">
        <v>79</v>
      </c>
      <c r="F226" s="2" t="s">
        <v>120</v>
      </c>
      <c r="G226" s="2">
        <v>1.0</v>
      </c>
      <c r="H226" s="2" t="s">
        <v>121</v>
      </c>
      <c r="I226" s="23">
        <v>45700.0</v>
      </c>
      <c r="AA226" s="25"/>
      <c r="AB226" s="2"/>
      <c r="AC226" s="25"/>
      <c r="AD226" s="2">
        <v>0.38872</v>
      </c>
      <c r="AG226" s="2">
        <f t="shared" si="1"/>
        <v>0</v>
      </c>
      <c r="AH226" s="8">
        <f t="shared" si="46"/>
        <v>0.38872</v>
      </c>
      <c r="AI226" s="2"/>
    </row>
    <row r="227">
      <c r="A227" s="2">
        <v>1.0</v>
      </c>
      <c r="B227" s="2" t="s">
        <v>205</v>
      </c>
      <c r="C227" s="2" t="s">
        <v>206</v>
      </c>
      <c r="D227" s="2" t="s">
        <v>78</v>
      </c>
      <c r="E227" s="33" t="s">
        <v>90</v>
      </c>
      <c r="F227" s="2" t="s">
        <v>120</v>
      </c>
      <c r="G227" s="2">
        <v>2.0</v>
      </c>
      <c r="H227" s="2" t="s">
        <v>208</v>
      </c>
      <c r="I227" s="23">
        <v>45700.0</v>
      </c>
      <c r="AA227" s="25"/>
      <c r="AB227" s="2"/>
      <c r="AC227" s="25"/>
      <c r="AD227" s="2">
        <v>0.9735</v>
      </c>
      <c r="AG227" s="2">
        <f t="shared" si="1"/>
        <v>0</v>
      </c>
      <c r="AH227" s="8">
        <f t="shared" si="46"/>
        <v>0.9735</v>
      </c>
      <c r="AI227" s="2"/>
    </row>
    <row r="228">
      <c r="A228" s="2">
        <v>1.0</v>
      </c>
      <c r="B228" s="2" t="s">
        <v>205</v>
      </c>
      <c r="C228" s="2" t="s">
        <v>206</v>
      </c>
      <c r="D228" s="2" t="s">
        <v>86</v>
      </c>
      <c r="E228" s="33" t="s">
        <v>99</v>
      </c>
      <c r="F228" s="2" t="s">
        <v>120</v>
      </c>
      <c r="G228" s="2">
        <v>3.0</v>
      </c>
      <c r="H228" s="2" t="s">
        <v>123</v>
      </c>
      <c r="I228" s="2"/>
      <c r="AA228" s="25"/>
      <c r="AB228" s="2"/>
      <c r="AC228" s="25"/>
      <c r="AG228" s="2">
        <f t="shared" si="1"/>
        <v>0</v>
      </c>
      <c r="AH228" s="8"/>
      <c r="AI228" s="2"/>
    </row>
    <row r="229">
      <c r="A229" s="2">
        <v>1.0</v>
      </c>
      <c r="B229" s="2" t="s">
        <v>205</v>
      </c>
      <c r="C229" s="2" t="s">
        <v>207</v>
      </c>
      <c r="D229" s="2" t="s">
        <v>86</v>
      </c>
      <c r="E229" s="33" t="s">
        <v>90</v>
      </c>
      <c r="F229" s="2" t="s">
        <v>120</v>
      </c>
      <c r="G229" s="2">
        <v>4.0</v>
      </c>
      <c r="H229" s="2" t="s">
        <v>124</v>
      </c>
      <c r="I229" s="2"/>
      <c r="AA229" s="25"/>
      <c r="AB229" s="2"/>
      <c r="AC229" s="25"/>
      <c r="AG229" s="2">
        <f t="shared" si="1"/>
        <v>0</v>
      </c>
      <c r="AH229" s="8"/>
      <c r="AI229" s="2"/>
    </row>
    <row r="230">
      <c r="A230" s="2">
        <v>1.0</v>
      </c>
      <c r="B230" s="2" t="s">
        <v>205</v>
      </c>
      <c r="C230" s="2" t="s">
        <v>206</v>
      </c>
      <c r="D230" s="2" t="s">
        <v>86</v>
      </c>
      <c r="E230" s="33" t="s">
        <v>87</v>
      </c>
      <c r="F230" s="2" t="s">
        <v>120</v>
      </c>
      <c r="G230" s="2">
        <v>5.0</v>
      </c>
      <c r="H230" s="2" t="s">
        <v>125</v>
      </c>
      <c r="I230" s="2"/>
      <c r="AA230" s="25"/>
      <c r="AB230" s="2"/>
      <c r="AC230" s="25"/>
      <c r="AG230" s="2">
        <f t="shared" si="1"/>
        <v>0</v>
      </c>
      <c r="AH230" s="8"/>
      <c r="AI230" s="2"/>
    </row>
    <row r="231">
      <c r="A231" s="2">
        <v>1.0</v>
      </c>
      <c r="B231" s="2" t="s">
        <v>205</v>
      </c>
      <c r="C231" s="2" t="s">
        <v>207</v>
      </c>
      <c r="D231" s="2" t="s">
        <v>86</v>
      </c>
      <c r="E231" s="33" t="s">
        <v>84</v>
      </c>
      <c r="F231" s="2" t="s">
        <v>120</v>
      </c>
      <c r="G231" s="2">
        <v>6.0</v>
      </c>
      <c r="H231" s="2" t="s">
        <v>126</v>
      </c>
      <c r="I231" s="2"/>
      <c r="AA231" s="25"/>
      <c r="AB231" s="2"/>
      <c r="AC231" s="25"/>
      <c r="AG231" s="2">
        <f t="shared" si="1"/>
        <v>0</v>
      </c>
      <c r="AH231" s="8"/>
      <c r="AI231" s="2"/>
    </row>
    <row r="232">
      <c r="A232" s="2">
        <v>1.0</v>
      </c>
      <c r="B232" s="2" t="s">
        <v>205</v>
      </c>
      <c r="C232" s="2" t="s">
        <v>206</v>
      </c>
      <c r="D232" s="2" t="s">
        <v>78</v>
      </c>
      <c r="E232" s="33" t="s">
        <v>87</v>
      </c>
      <c r="F232" s="2" t="s">
        <v>120</v>
      </c>
      <c r="G232" s="2">
        <v>7.0</v>
      </c>
      <c r="H232" s="2" t="s">
        <v>128</v>
      </c>
      <c r="I232" s="23">
        <v>45700.0</v>
      </c>
      <c r="AA232" s="25"/>
      <c r="AB232" s="2"/>
      <c r="AC232" s="25"/>
      <c r="AG232" s="2">
        <f t="shared" si="1"/>
        <v>0</v>
      </c>
      <c r="AH232" s="8"/>
      <c r="AI232" s="2"/>
    </row>
    <row r="233">
      <c r="A233" s="2">
        <v>1.0</v>
      </c>
      <c r="B233" s="2" t="s">
        <v>205</v>
      </c>
      <c r="C233" s="2" t="s">
        <v>206</v>
      </c>
      <c r="D233" s="2" t="s">
        <v>78</v>
      </c>
      <c r="E233" s="33" t="s">
        <v>99</v>
      </c>
      <c r="F233" s="2" t="s">
        <v>120</v>
      </c>
      <c r="G233" s="2">
        <v>8.0</v>
      </c>
      <c r="H233" s="2" t="s">
        <v>129</v>
      </c>
      <c r="I233" s="23">
        <v>45700.0</v>
      </c>
      <c r="AA233" s="25"/>
      <c r="AB233" s="2"/>
      <c r="AC233" s="25"/>
      <c r="AG233" s="2">
        <f t="shared" si="1"/>
        <v>0</v>
      </c>
      <c r="AH233" s="8"/>
      <c r="AI233" s="2"/>
    </row>
    <row r="234">
      <c r="A234" s="2">
        <v>1.0</v>
      </c>
      <c r="B234" s="2" t="s">
        <v>205</v>
      </c>
      <c r="C234" s="2" t="s">
        <v>206</v>
      </c>
      <c r="D234" s="2" t="s">
        <v>78</v>
      </c>
      <c r="E234" s="33" t="s">
        <v>84</v>
      </c>
      <c r="F234" s="2" t="s">
        <v>120</v>
      </c>
      <c r="G234" s="2">
        <v>9.0</v>
      </c>
      <c r="H234" s="2" t="s">
        <v>130</v>
      </c>
      <c r="I234" s="23">
        <v>45700.0</v>
      </c>
      <c r="AA234" s="25"/>
      <c r="AB234" s="2"/>
      <c r="AC234" s="25"/>
      <c r="AD234" s="2">
        <v>0.41753</v>
      </c>
      <c r="AG234" s="2">
        <f t="shared" si="1"/>
        <v>0</v>
      </c>
      <c r="AH234" s="8">
        <f t="shared" ref="AH234:AH236" si="47">AD234+AG234</f>
        <v>0.41753</v>
      </c>
      <c r="AI234" s="2"/>
    </row>
    <row r="235">
      <c r="A235" s="2">
        <v>1.0</v>
      </c>
      <c r="B235" s="2" t="s">
        <v>205</v>
      </c>
      <c r="C235" s="2" t="s">
        <v>206</v>
      </c>
      <c r="D235" s="2" t="s">
        <v>78</v>
      </c>
      <c r="E235" s="33" t="s">
        <v>106</v>
      </c>
      <c r="F235" s="2" t="s">
        <v>120</v>
      </c>
      <c r="G235" s="2">
        <v>10.0</v>
      </c>
      <c r="H235" s="2" t="s">
        <v>131</v>
      </c>
      <c r="I235" s="23">
        <v>45700.0</v>
      </c>
      <c r="AA235" s="25"/>
      <c r="AB235" s="2"/>
      <c r="AC235" s="25"/>
      <c r="AD235" s="2">
        <v>0.18255</v>
      </c>
      <c r="AG235" s="2">
        <f t="shared" si="1"/>
        <v>0</v>
      </c>
      <c r="AH235" s="8">
        <f t="shared" si="47"/>
        <v>0.18255</v>
      </c>
      <c r="AI235" s="2"/>
    </row>
    <row r="236">
      <c r="A236" s="2">
        <v>1.0</v>
      </c>
      <c r="B236" s="2" t="s">
        <v>205</v>
      </c>
      <c r="C236" s="2" t="s">
        <v>206</v>
      </c>
      <c r="D236" s="2" t="s">
        <v>78</v>
      </c>
      <c r="E236" s="33" t="s">
        <v>79</v>
      </c>
      <c r="F236" s="2" t="s">
        <v>120</v>
      </c>
      <c r="G236" s="2">
        <v>11.0</v>
      </c>
      <c r="H236" s="2" t="s">
        <v>132</v>
      </c>
      <c r="I236" s="23">
        <v>45700.0</v>
      </c>
      <c r="AA236" s="25"/>
      <c r="AB236" s="2"/>
      <c r="AC236" s="25"/>
      <c r="AD236" s="2">
        <v>0.677</v>
      </c>
      <c r="AG236" s="2">
        <f t="shared" si="1"/>
        <v>0</v>
      </c>
      <c r="AH236" s="8">
        <f t="shared" si="47"/>
        <v>0.677</v>
      </c>
      <c r="AI236" s="2"/>
    </row>
    <row r="237">
      <c r="A237" s="2">
        <v>1.0</v>
      </c>
      <c r="B237" s="2" t="s">
        <v>205</v>
      </c>
      <c r="C237" s="2" t="s">
        <v>207</v>
      </c>
      <c r="D237" s="2" t="s">
        <v>86</v>
      </c>
      <c r="E237" s="33" t="s">
        <v>92</v>
      </c>
      <c r="F237" s="2" t="s">
        <v>120</v>
      </c>
      <c r="G237" s="2">
        <v>12.0</v>
      </c>
      <c r="H237" s="2" t="s">
        <v>133</v>
      </c>
      <c r="I237" s="2"/>
      <c r="AA237" s="25"/>
      <c r="AB237" s="2"/>
      <c r="AC237" s="25"/>
      <c r="AG237" s="2">
        <f t="shared" si="1"/>
        <v>0</v>
      </c>
      <c r="AH237" s="8"/>
      <c r="AI237" s="2"/>
    </row>
    <row r="238">
      <c r="A238" s="2">
        <v>1.0</v>
      </c>
      <c r="B238" s="2" t="s">
        <v>205</v>
      </c>
      <c r="C238" s="2" t="s">
        <v>207</v>
      </c>
      <c r="D238" s="2" t="s">
        <v>78</v>
      </c>
      <c r="E238" s="33" t="s">
        <v>92</v>
      </c>
      <c r="F238" s="2" t="s">
        <v>120</v>
      </c>
      <c r="G238" s="2">
        <v>13.0</v>
      </c>
      <c r="H238" s="2" t="s">
        <v>134</v>
      </c>
      <c r="I238" s="2"/>
      <c r="AA238" s="25"/>
      <c r="AB238" s="2"/>
      <c r="AC238" s="25"/>
      <c r="AG238" s="2">
        <f t="shared" si="1"/>
        <v>0</v>
      </c>
      <c r="AH238" s="8"/>
      <c r="AI238" s="2"/>
    </row>
    <row r="239">
      <c r="A239" s="2">
        <v>1.0</v>
      </c>
      <c r="B239" s="2" t="s">
        <v>205</v>
      </c>
      <c r="C239" s="2" t="s">
        <v>207</v>
      </c>
      <c r="D239" s="2" t="s">
        <v>86</v>
      </c>
      <c r="E239" s="33" t="s">
        <v>79</v>
      </c>
      <c r="F239" s="2" t="s">
        <v>120</v>
      </c>
      <c r="G239" s="2">
        <v>14.0</v>
      </c>
      <c r="H239" s="2" t="s">
        <v>136</v>
      </c>
      <c r="I239" s="2"/>
      <c r="AA239" s="25"/>
      <c r="AB239" s="2"/>
      <c r="AC239" s="25"/>
      <c r="AG239" s="2">
        <f t="shared" si="1"/>
        <v>0</v>
      </c>
      <c r="AH239" s="8"/>
      <c r="AI239" s="2"/>
    </row>
    <row r="240">
      <c r="A240" s="2">
        <v>1.0</v>
      </c>
      <c r="B240" s="2" t="s">
        <v>205</v>
      </c>
      <c r="C240" s="2" t="s">
        <v>206</v>
      </c>
      <c r="D240" s="2" t="s">
        <v>86</v>
      </c>
      <c r="E240" s="33" t="s">
        <v>84</v>
      </c>
      <c r="F240" s="2" t="s">
        <v>137</v>
      </c>
      <c r="G240" s="2">
        <v>1.0</v>
      </c>
      <c r="H240" s="2" t="s">
        <v>138</v>
      </c>
      <c r="I240" s="2"/>
      <c r="AA240" s="25"/>
      <c r="AB240" s="2"/>
      <c r="AC240" s="25"/>
      <c r="AG240" s="2">
        <f t="shared" si="1"/>
        <v>0</v>
      </c>
      <c r="AH240" s="8"/>
      <c r="AI240" s="2"/>
    </row>
    <row r="241">
      <c r="A241" s="2">
        <v>1.0</v>
      </c>
      <c r="B241" s="2" t="s">
        <v>205</v>
      </c>
      <c r="C241" s="2" t="s">
        <v>206</v>
      </c>
      <c r="D241" s="2" t="s">
        <v>86</v>
      </c>
      <c r="E241" s="33" t="s">
        <v>92</v>
      </c>
      <c r="F241" s="2" t="s">
        <v>137</v>
      </c>
      <c r="G241" s="2">
        <v>2.0</v>
      </c>
      <c r="H241" s="2" t="s">
        <v>139</v>
      </c>
      <c r="I241" s="2"/>
      <c r="AA241" s="25"/>
      <c r="AB241" s="2"/>
      <c r="AC241" s="25"/>
      <c r="AG241" s="2">
        <f t="shared" si="1"/>
        <v>0</v>
      </c>
      <c r="AH241" s="8"/>
      <c r="AI241" s="2"/>
    </row>
    <row r="242">
      <c r="A242" s="2">
        <v>1.0</v>
      </c>
      <c r="B242" s="2" t="s">
        <v>205</v>
      </c>
      <c r="C242" s="2" t="s">
        <v>207</v>
      </c>
      <c r="D242" s="2" t="s">
        <v>86</v>
      </c>
      <c r="E242" s="33" t="s">
        <v>84</v>
      </c>
      <c r="F242" s="2" t="s">
        <v>137</v>
      </c>
      <c r="G242" s="2">
        <v>3.0</v>
      </c>
      <c r="H242" s="2" t="s">
        <v>140</v>
      </c>
      <c r="I242" s="2"/>
      <c r="AA242" s="25"/>
      <c r="AB242" s="2"/>
      <c r="AC242" s="25"/>
      <c r="AG242" s="2">
        <f t="shared" si="1"/>
        <v>0</v>
      </c>
      <c r="AH242" s="8"/>
      <c r="AI242" s="2"/>
    </row>
    <row r="243">
      <c r="A243" s="2">
        <v>1.0</v>
      </c>
      <c r="B243" s="2" t="s">
        <v>205</v>
      </c>
      <c r="C243" s="2" t="s">
        <v>207</v>
      </c>
      <c r="D243" s="2" t="s">
        <v>78</v>
      </c>
      <c r="E243" s="33" t="s">
        <v>79</v>
      </c>
      <c r="F243" s="2" t="s">
        <v>137</v>
      </c>
      <c r="G243" s="2">
        <v>4.0</v>
      </c>
      <c r="H243" s="2" t="s">
        <v>141</v>
      </c>
      <c r="I243" s="23">
        <v>45700.0</v>
      </c>
      <c r="AA243" s="25"/>
      <c r="AB243" s="2"/>
      <c r="AC243" s="25"/>
      <c r="AD243" s="2">
        <v>0.45833</v>
      </c>
      <c r="AG243" s="2">
        <f t="shared" si="1"/>
        <v>0</v>
      </c>
      <c r="AH243" s="8">
        <f t="shared" ref="AH243:AH246" si="48">AD243+AG243</f>
        <v>0.45833</v>
      </c>
      <c r="AI243" s="2"/>
    </row>
    <row r="244">
      <c r="A244" s="2">
        <v>1.0</v>
      </c>
      <c r="B244" s="2" t="s">
        <v>205</v>
      </c>
      <c r="C244" s="2" t="s">
        <v>206</v>
      </c>
      <c r="D244" s="2" t="s">
        <v>78</v>
      </c>
      <c r="E244" s="33" t="s">
        <v>92</v>
      </c>
      <c r="F244" s="2" t="s">
        <v>137</v>
      </c>
      <c r="G244" s="2">
        <v>5.0</v>
      </c>
      <c r="H244" s="2" t="s">
        <v>142</v>
      </c>
      <c r="I244" s="23">
        <v>45700.0</v>
      </c>
      <c r="AA244" s="25"/>
      <c r="AB244" s="2"/>
      <c r="AC244" s="25"/>
      <c r="AD244" s="2">
        <v>0.32479</v>
      </c>
      <c r="AG244" s="2">
        <f t="shared" si="1"/>
        <v>0</v>
      </c>
      <c r="AH244" s="8">
        <f t="shared" si="48"/>
        <v>0.32479</v>
      </c>
      <c r="AI244" s="2"/>
    </row>
    <row r="245">
      <c r="A245" s="2">
        <v>1.0</v>
      </c>
      <c r="B245" s="2" t="s">
        <v>205</v>
      </c>
      <c r="C245" s="2" t="s">
        <v>206</v>
      </c>
      <c r="D245" s="2" t="s">
        <v>78</v>
      </c>
      <c r="E245" s="33" t="s">
        <v>92</v>
      </c>
      <c r="F245" s="2" t="s">
        <v>137</v>
      </c>
      <c r="G245" s="2">
        <v>6.0</v>
      </c>
      <c r="H245" s="2" t="s">
        <v>143</v>
      </c>
      <c r="I245" s="23">
        <v>45700.0</v>
      </c>
      <c r="AA245" s="25"/>
      <c r="AB245" s="2"/>
      <c r="AC245" s="25"/>
      <c r="AD245" s="2">
        <v>0.39184</v>
      </c>
      <c r="AG245" s="2">
        <f t="shared" si="1"/>
        <v>0</v>
      </c>
      <c r="AH245" s="8">
        <f t="shared" si="48"/>
        <v>0.39184</v>
      </c>
      <c r="AI245" s="2"/>
    </row>
    <row r="246">
      <c r="A246" s="2">
        <v>1.0</v>
      </c>
      <c r="B246" s="2" t="s">
        <v>205</v>
      </c>
      <c r="C246" s="2" t="s">
        <v>206</v>
      </c>
      <c r="D246" s="2" t="s">
        <v>86</v>
      </c>
      <c r="E246" s="33" t="s">
        <v>90</v>
      </c>
      <c r="F246" s="2" t="s">
        <v>137</v>
      </c>
      <c r="G246" s="2">
        <v>7.0</v>
      </c>
      <c r="H246" s="2" t="s">
        <v>144</v>
      </c>
      <c r="I246" s="2"/>
      <c r="AA246" s="25"/>
      <c r="AB246" s="2"/>
      <c r="AC246" s="25"/>
      <c r="AD246" s="2">
        <v>0.09705</v>
      </c>
      <c r="AG246" s="2">
        <f t="shared" si="1"/>
        <v>0</v>
      </c>
      <c r="AH246" s="8">
        <f t="shared" si="48"/>
        <v>0.09705</v>
      </c>
      <c r="AI246" s="2"/>
    </row>
    <row r="247">
      <c r="A247" s="2">
        <v>1.0</v>
      </c>
      <c r="B247" s="2" t="s">
        <v>205</v>
      </c>
      <c r="C247" s="2" t="s">
        <v>207</v>
      </c>
      <c r="D247" s="2" t="s">
        <v>86</v>
      </c>
      <c r="E247" s="33" t="s">
        <v>87</v>
      </c>
      <c r="F247" s="2" t="s">
        <v>137</v>
      </c>
      <c r="G247" s="2">
        <v>8.0</v>
      </c>
      <c r="H247" s="2" t="s">
        <v>145</v>
      </c>
      <c r="I247" s="2"/>
      <c r="AA247" s="25"/>
      <c r="AB247" s="2"/>
      <c r="AC247" s="25"/>
      <c r="AG247" s="2">
        <f t="shared" si="1"/>
        <v>0</v>
      </c>
      <c r="AH247" s="8"/>
      <c r="AI247" s="2"/>
    </row>
    <row r="248">
      <c r="A248" s="2">
        <v>1.0</v>
      </c>
      <c r="B248" s="2" t="s">
        <v>205</v>
      </c>
      <c r="C248" s="2" t="s">
        <v>206</v>
      </c>
      <c r="D248" s="2" t="s">
        <v>86</v>
      </c>
      <c r="E248" s="33" t="s">
        <v>106</v>
      </c>
      <c r="F248" s="2" t="s">
        <v>137</v>
      </c>
      <c r="G248" s="2">
        <v>9.0</v>
      </c>
      <c r="H248" s="2" t="s">
        <v>147</v>
      </c>
      <c r="I248" s="2"/>
      <c r="AA248" s="25"/>
      <c r="AB248" s="2"/>
      <c r="AC248" s="25"/>
      <c r="AD248" s="2">
        <v>0.52967</v>
      </c>
      <c r="AG248" s="2">
        <f t="shared" si="1"/>
        <v>0</v>
      </c>
      <c r="AH248" s="8">
        <f>AD248+AG248</f>
        <v>0.52967</v>
      </c>
      <c r="AI248" s="2"/>
    </row>
    <row r="249">
      <c r="A249" s="2">
        <v>1.0</v>
      </c>
      <c r="B249" s="2" t="s">
        <v>205</v>
      </c>
      <c r="C249" s="2" t="s">
        <v>206</v>
      </c>
      <c r="D249" s="2" t="s">
        <v>78</v>
      </c>
      <c r="E249" s="33" t="s">
        <v>90</v>
      </c>
      <c r="F249" s="2" t="s">
        <v>137</v>
      </c>
      <c r="G249" s="2">
        <v>10.0</v>
      </c>
      <c r="H249" s="2" t="s">
        <v>148</v>
      </c>
      <c r="I249" s="23">
        <v>45700.0</v>
      </c>
      <c r="AA249" s="25"/>
      <c r="AB249" s="2"/>
      <c r="AC249" s="25"/>
      <c r="AG249" s="2">
        <f t="shared" si="1"/>
        <v>0</v>
      </c>
      <c r="AH249" s="8"/>
      <c r="AI249" s="2"/>
    </row>
    <row r="250">
      <c r="A250" s="2">
        <v>1.0</v>
      </c>
      <c r="B250" s="2" t="s">
        <v>205</v>
      </c>
      <c r="C250" s="2" t="s">
        <v>207</v>
      </c>
      <c r="D250" s="2" t="s">
        <v>78</v>
      </c>
      <c r="E250" s="33" t="s">
        <v>84</v>
      </c>
      <c r="F250" s="2" t="s">
        <v>137</v>
      </c>
      <c r="G250" s="2">
        <v>11.0</v>
      </c>
      <c r="H250" s="2" t="s">
        <v>149</v>
      </c>
      <c r="I250" s="2"/>
      <c r="AA250" s="25"/>
      <c r="AB250" s="2"/>
      <c r="AC250" s="25"/>
      <c r="AG250" s="2">
        <f t="shared" si="1"/>
        <v>0</v>
      </c>
      <c r="AH250" s="8"/>
      <c r="AI250" s="2"/>
    </row>
    <row r="251">
      <c r="A251" s="2">
        <v>1.0</v>
      </c>
      <c r="B251" s="2" t="s">
        <v>205</v>
      </c>
      <c r="C251" s="2" t="s">
        <v>206</v>
      </c>
      <c r="D251" s="2" t="s">
        <v>78</v>
      </c>
      <c r="E251" s="33" t="s">
        <v>79</v>
      </c>
      <c r="F251" s="2" t="s">
        <v>137</v>
      </c>
      <c r="G251" s="2">
        <v>12.0</v>
      </c>
      <c r="H251" s="2" t="s">
        <v>150</v>
      </c>
      <c r="I251" s="2"/>
      <c r="AA251" s="25"/>
      <c r="AB251" s="2"/>
      <c r="AC251" s="25"/>
      <c r="AG251" s="2">
        <f t="shared" si="1"/>
        <v>0</v>
      </c>
      <c r="AH251" s="8"/>
      <c r="AI251" s="2"/>
    </row>
    <row r="252">
      <c r="A252" s="2">
        <v>1.0</v>
      </c>
      <c r="B252" s="2" t="s">
        <v>205</v>
      </c>
      <c r="C252" s="2" t="s">
        <v>206</v>
      </c>
      <c r="D252" s="2" t="s">
        <v>78</v>
      </c>
      <c r="E252" s="33" t="s">
        <v>106</v>
      </c>
      <c r="F252" s="2" t="s">
        <v>137</v>
      </c>
      <c r="G252" s="2">
        <v>13.0</v>
      </c>
      <c r="H252" s="2" t="s">
        <v>151</v>
      </c>
      <c r="I252" s="2"/>
      <c r="AA252" s="25"/>
      <c r="AB252" s="2"/>
      <c r="AC252" s="25"/>
      <c r="AG252" s="2">
        <f t="shared" si="1"/>
        <v>0</v>
      </c>
      <c r="AH252" s="8"/>
      <c r="AI252" s="2"/>
    </row>
    <row r="253">
      <c r="A253" s="2">
        <v>1.0</v>
      </c>
      <c r="B253" s="2" t="s">
        <v>205</v>
      </c>
      <c r="C253" s="2" t="s">
        <v>206</v>
      </c>
      <c r="D253" s="2" t="s">
        <v>78</v>
      </c>
      <c r="E253" s="33" t="s">
        <v>84</v>
      </c>
      <c r="F253" s="2" t="s">
        <v>137</v>
      </c>
      <c r="G253" s="2">
        <v>14.0</v>
      </c>
      <c r="H253" s="2" t="s">
        <v>152</v>
      </c>
      <c r="I253" s="2"/>
      <c r="AA253" s="25"/>
      <c r="AB253" s="2"/>
      <c r="AC253" s="25"/>
      <c r="AG253" s="2">
        <f t="shared" si="1"/>
        <v>0</v>
      </c>
      <c r="AH253" s="8"/>
      <c r="AI253" s="2"/>
    </row>
    <row r="254">
      <c r="A254" s="2">
        <v>1.0</v>
      </c>
      <c r="B254" s="2" t="s">
        <v>205</v>
      </c>
      <c r="C254" s="2" t="s">
        <v>207</v>
      </c>
      <c r="D254" s="2" t="s">
        <v>86</v>
      </c>
      <c r="E254" s="33" t="s">
        <v>99</v>
      </c>
      <c r="F254" s="2" t="s">
        <v>153</v>
      </c>
      <c r="G254" s="2">
        <v>1.0</v>
      </c>
      <c r="H254" s="2" t="s">
        <v>154</v>
      </c>
      <c r="I254" s="23">
        <v>45700.0</v>
      </c>
      <c r="AA254" s="25"/>
      <c r="AB254" s="2"/>
      <c r="AC254" s="25"/>
      <c r="AD254" s="2">
        <v>0.28263</v>
      </c>
      <c r="AG254" s="2">
        <f t="shared" si="1"/>
        <v>0</v>
      </c>
      <c r="AH254" s="8">
        <f t="shared" ref="AH254:AH255" si="49">AD254+AG254</f>
        <v>0.28263</v>
      </c>
      <c r="AI254" s="2"/>
    </row>
    <row r="255">
      <c r="A255" s="2">
        <v>1.0</v>
      </c>
      <c r="B255" s="2" t="s">
        <v>205</v>
      </c>
      <c r="C255" s="2" t="s">
        <v>206</v>
      </c>
      <c r="D255" s="2" t="s">
        <v>78</v>
      </c>
      <c r="E255" s="33" t="s">
        <v>90</v>
      </c>
      <c r="F255" s="2" t="s">
        <v>153</v>
      </c>
      <c r="G255" s="2">
        <v>2.0</v>
      </c>
      <c r="H255" s="2" t="s">
        <v>155</v>
      </c>
      <c r="I255" s="23">
        <v>45700.0</v>
      </c>
      <c r="AA255" s="25"/>
      <c r="AB255" s="2"/>
      <c r="AC255" s="25"/>
      <c r="AD255" s="2">
        <v>0.37845</v>
      </c>
      <c r="AG255" s="2">
        <f t="shared" si="1"/>
        <v>0</v>
      </c>
      <c r="AH255" s="8">
        <f t="shared" si="49"/>
        <v>0.37845</v>
      </c>
      <c r="AI255" s="2"/>
    </row>
    <row r="256">
      <c r="A256" s="2">
        <v>1.0</v>
      </c>
      <c r="B256" s="2" t="s">
        <v>205</v>
      </c>
      <c r="C256" s="2" t="s">
        <v>206</v>
      </c>
      <c r="D256" s="2" t="s">
        <v>86</v>
      </c>
      <c r="E256" s="33" t="s">
        <v>106</v>
      </c>
      <c r="F256" s="2" t="s">
        <v>153</v>
      </c>
      <c r="G256" s="2">
        <v>3.0</v>
      </c>
      <c r="H256" s="2" t="s">
        <v>156</v>
      </c>
      <c r="I256" s="2"/>
      <c r="AA256" s="25"/>
      <c r="AB256" s="2"/>
      <c r="AC256" s="25"/>
      <c r="AG256" s="2">
        <f t="shared" si="1"/>
        <v>0</v>
      </c>
      <c r="AH256" s="8"/>
      <c r="AI256" s="2"/>
    </row>
    <row r="257">
      <c r="A257" s="2">
        <v>1.0</v>
      </c>
      <c r="B257" s="2" t="s">
        <v>205</v>
      </c>
      <c r="C257" s="2" t="s">
        <v>207</v>
      </c>
      <c r="D257" s="2" t="s">
        <v>86</v>
      </c>
      <c r="E257" s="33" t="s">
        <v>84</v>
      </c>
      <c r="F257" s="2" t="s">
        <v>153</v>
      </c>
      <c r="G257" s="2">
        <v>4.0</v>
      </c>
      <c r="H257" s="2" t="s">
        <v>157</v>
      </c>
      <c r="I257" s="2"/>
      <c r="AA257" s="25"/>
      <c r="AB257" s="2"/>
      <c r="AC257" s="25"/>
      <c r="AG257" s="2">
        <f t="shared" si="1"/>
        <v>0</v>
      </c>
      <c r="AH257" s="8"/>
      <c r="AI257" s="2"/>
    </row>
    <row r="258">
      <c r="A258" s="2">
        <v>1.0</v>
      </c>
      <c r="B258" s="2" t="s">
        <v>205</v>
      </c>
      <c r="C258" s="2" t="s">
        <v>207</v>
      </c>
      <c r="D258" s="2" t="s">
        <v>86</v>
      </c>
      <c r="E258" s="33" t="s">
        <v>99</v>
      </c>
      <c r="F258" s="2" t="s">
        <v>153</v>
      </c>
      <c r="G258" s="2">
        <v>5.0</v>
      </c>
      <c r="H258" s="2" t="s">
        <v>158</v>
      </c>
      <c r="I258" s="2"/>
      <c r="AA258" s="25"/>
      <c r="AB258" s="2"/>
      <c r="AC258" s="25"/>
      <c r="AG258" s="2">
        <f t="shared" si="1"/>
        <v>0</v>
      </c>
      <c r="AH258" s="8"/>
      <c r="AI258" s="2"/>
    </row>
    <row r="259">
      <c r="A259" s="2">
        <v>1.0</v>
      </c>
      <c r="B259" s="2" t="s">
        <v>205</v>
      </c>
      <c r="C259" s="2" t="s">
        <v>207</v>
      </c>
      <c r="D259" s="2" t="s">
        <v>86</v>
      </c>
      <c r="E259" s="33" t="s">
        <v>92</v>
      </c>
      <c r="F259" s="2" t="s">
        <v>153</v>
      </c>
      <c r="G259" s="2">
        <v>6.0</v>
      </c>
      <c r="H259" s="2" t="s">
        <v>159</v>
      </c>
      <c r="I259" s="2"/>
      <c r="AA259" s="25"/>
      <c r="AB259" s="2"/>
      <c r="AC259" s="25"/>
      <c r="AG259" s="2">
        <f t="shared" si="1"/>
        <v>0</v>
      </c>
      <c r="AH259" s="8"/>
      <c r="AI259" s="2"/>
    </row>
    <row r="260">
      <c r="A260" s="2">
        <v>1.0</v>
      </c>
      <c r="B260" s="2" t="s">
        <v>205</v>
      </c>
      <c r="C260" s="2" t="s">
        <v>206</v>
      </c>
      <c r="D260" s="2" t="s">
        <v>86</v>
      </c>
      <c r="E260" s="33" t="s">
        <v>87</v>
      </c>
      <c r="F260" s="2" t="s">
        <v>153</v>
      </c>
      <c r="G260" s="2">
        <v>7.0</v>
      </c>
      <c r="H260" s="2" t="s">
        <v>160</v>
      </c>
      <c r="I260" s="2"/>
      <c r="AA260" s="25"/>
      <c r="AB260" s="2"/>
      <c r="AC260" s="25"/>
      <c r="AG260" s="2">
        <f t="shared" si="1"/>
        <v>0</v>
      </c>
      <c r="AH260" s="8"/>
      <c r="AI260" s="2"/>
    </row>
    <row r="261">
      <c r="A261" s="2">
        <v>1.0</v>
      </c>
      <c r="B261" s="2" t="s">
        <v>205</v>
      </c>
      <c r="C261" s="2" t="s">
        <v>206</v>
      </c>
      <c r="D261" s="2" t="s">
        <v>78</v>
      </c>
      <c r="E261" s="33" t="s">
        <v>106</v>
      </c>
      <c r="F261" s="2" t="s">
        <v>153</v>
      </c>
      <c r="G261" s="2">
        <v>8.0</v>
      </c>
      <c r="H261" s="2" t="s">
        <v>161</v>
      </c>
      <c r="I261" s="23">
        <v>45700.0</v>
      </c>
      <c r="AA261" s="25"/>
      <c r="AB261" s="2"/>
      <c r="AC261" s="25"/>
      <c r="AD261" s="2">
        <v>0.1289</v>
      </c>
      <c r="AG261" s="2">
        <f t="shared" si="1"/>
        <v>0</v>
      </c>
      <c r="AH261" s="8">
        <f>AD261+AG261</f>
        <v>0.1289</v>
      </c>
      <c r="AI261" s="2"/>
    </row>
    <row r="262">
      <c r="A262" s="2">
        <v>1.0</v>
      </c>
      <c r="B262" s="2" t="s">
        <v>205</v>
      </c>
      <c r="C262" s="2" t="s">
        <v>207</v>
      </c>
      <c r="D262" s="2" t="s">
        <v>78</v>
      </c>
      <c r="E262" s="33" t="s">
        <v>99</v>
      </c>
      <c r="F262" s="2" t="s">
        <v>153</v>
      </c>
      <c r="G262" s="2">
        <v>9.0</v>
      </c>
      <c r="H262" s="2" t="s">
        <v>163</v>
      </c>
      <c r="I262" s="23">
        <v>45700.0</v>
      </c>
      <c r="AA262" s="25"/>
      <c r="AB262" s="2"/>
      <c r="AC262" s="25"/>
      <c r="AG262" s="2">
        <f t="shared" si="1"/>
        <v>0</v>
      </c>
      <c r="AH262" s="8"/>
      <c r="AI262" s="2"/>
    </row>
    <row r="263">
      <c r="A263" s="2">
        <v>1.0</v>
      </c>
      <c r="B263" s="2" t="s">
        <v>205</v>
      </c>
      <c r="C263" s="2" t="s">
        <v>207</v>
      </c>
      <c r="D263" s="2" t="s">
        <v>86</v>
      </c>
      <c r="E263" s="33" t="s">
        <v>99</v>
      </c>
      <c r="F263" s="2" t="s">
        <v>153</v>
      </c>
      <c r="G263" s="2">
        <v>10.0</v>
      </c>
      <c r="H263" s="2" t="s">
        <v>164</v>
      </c>
      <c r="I263" s="2"/>
      <c r="AA263" s="25"/>
      <c r="AB263" s="2"/>
      <c r="AC263" s="25"/>
      <c r="AG263" s="2">
        <f t="shared" si="1"/>
        <v>0</v>
      </c>
      <c r="AH263" s="8"/>
      <c r="AI263" s="2"/>
    </row>
    <row r="264">
      <c r="A264" s="2">
        <v>1.0</v>
      </c>
      <c r="B264" s="2" t="s">
        <v>205</v>
      </c>
      <c r="C264" s="2" t="s">
        <v>206</v>
      </c>
      <c r="D264" s="2" t="s">
        <v>78</v>
      </c>
      <c r="E264" s="33" t="s">
        <v>87</v>
      </c>
      <c r="F264" s="2" t="s">
        <v>153</v>
      </c>
      <c r="G264" s="2">
        <v>11.0</v>
      </c>
      <c r="H264" s="2" t="s">
        <v>165</v>
      </c>
      <c r="I264" s="23">
        <v>45700.0</v>
      </c>
      <c r="AA264" s="25"/>
      <c r="AB264" s="2"/>
      <c r="AC264" s="25"/>
      <c r="AD264" s="2">
        <v>0.4479</v>
      </c>
      <c r="AG264" s="2">
        <f t="shared" si="1"/>
        <v>0</v>
      </c>
      <c r="AH264" s="8">
        <f>AD264+AG264</f>
        <v>0.4479</v>
      </c>
      <c r="AI264" s="2"/>
    </row>
    <row r="265">
      <c r="A265" s="2">
        <v>1.0</v>
      </c>
      <c r="B265" s="2" t="s">
        <v>205</v>
      </c>
      <c r="C265" s="2" t="s">
        <v>207</v>
      </c>
      <c r="D265" s="2" t="s">
        <v>86</v>
      </c>
      <c r="E265" s="33" t="s">
        <v>106</v>
      </c>
      <c r="F265" s="2" t="s">
        <v>153</v>
      </c>
      <c r="G265" s="2">
        <v>12.0</v>
      </c>
      <c r="H265" s="2" t="s">
        <v>166</v>
      </c>
      <c r="I265" s="2"/>
      <c r="AA265" s="25"/>
      <c r="AB265" s="2"/>
      <c r="AC265" s="25"/>
      <c r="AG265" s="2">
        <f t="shared" si="1"/>
        <v>0</v>
      </c>
      <c r="AH265" s="8"/>
      <c r="AI265" s="2"/>
    </row>
    <row r="266">
      <c r="A266" s="2">
        <v>1.0</v>
      </c>
      <c r="B266" s="2" t="s">
        <v>205</v>
      </c>
      <c r="C266" s="2" t="s">
        <v>207</v>
      </c>
      <c r="D266" s="2" t="s">
        <v>78</v>
      </c>
      <c r="E266" s="33" t="s">
        <v>84</v>
      </c>
      <c r="F266" s="2" t="s">
        <v>153</v>
      </c>
      <c r="G266" s="2">
        <v>13.0</v>
      </c>
      <c r="H266" s="2" t="s">
        <v>167</v>
      </c>
      <c r="I266" s="2"/>
      <c r="AA266" s="25"/>
      <c r="AB266" s="2"/>
      <c r="AC266" s="25"/>
      <c r="AG266" s="2">
        <f t="shared" si="1"/>
        <v>0</v>
      </c>
      <c r="AH266" s="8"/>
      <c r="AI266" s="2"/>
    </row>
    <row r="267">
      <c r="A267" s="2">
        <v>1.0</v>
      </c>
      <c r="B267" s="2" t="s">
        <v>205</v>
      </c>
      <c r="C267" s="2" t="s">
        <v>206</v>
      </c>
      <c r="D267" s="2" t="s">
        <v>78</v>
      </c>
      <c r="E267" s="33" t="s">
        <v>84</v>
      </c>
      <c r="F267" s="2" t="s">
        <v>153</v>
      </c>
      <c r="G267" s="2">
        <v>14.0</v>
      </c>
      <c r="H267" s="2" t="s">
        <v>168</v>
      </c>
      <c r="I267" s="2"/>
      <c r="AA267" s="25"/>
      <c r="AB267" s="2"/>
      <c r="AC267" s="25"/>
      <c r="AG267" s="2">
        <f t="shared" si="1"/>
        <v>0</v>
      </c>
      <c r="AH267" s="8"/>
      <c r="AI267" s="2"/>
    </row>
    <row r="268">
      <c r="A268" s="2">
        <v>1.0</v>
      </c>
      <c r="B268" s="2" t="s">
        <v>205</v>
      </c>
      <c r="C268" s="2" t="s">
        <v>206</v>
      </c>
      <c r="D268" s="2" t="s">
        <v>86</v>
      </c>
      <c r="E268" s="33" t="s">
        <v>87</v>
      </c>
      <c r="F268" s="2" t="s">
        <v>169</v>
      </c>
      <c r="G268" s="2">
        <v>1.0</v>
      </c>
      <c r="H268" s="2" t="s">
        <v>170</v>
      </c>
      <c r="I268" s="2"/>
      <c r="AA268" s="25"/>
      <c r="AB268" s="2"/>
      <c r="AC268" s="25"/>
      <c r="AG268" s="2">
        <f t="shared" si="1"/>
        <v>0</v>
      </c>
      <c r="AH268" s="8"/>
      <c r="AI268" s="2"/>
    </row>
    <row r="269">
      <c r="A269" s="2">
        <v>1.0</v>
      </c>
      <c r="B269" s="2" t="s">
        <v>205</v>
      </c>
      <c r="C269" s="2" t="s">
        <v>206</v>
      </c>
      <c r="D269" s="2" t="s">
        <v>78</v>
      </c>
      <c r="E269" s="33" t="s">
        <v>99</v>
      </c>
      <c r="F269" s="2" t="s">
        <v>169</v>
      </c>
      <c r="G269" s="2">
        <v>2.0</v>
      </c>
      <c r="H269" s="2" t="s">
        <v>171</v>
      </c>
      <c r="I269" s="23">
        <v>45700.0</v>
      </c>
      <c r="AA269" s="25"/>
      <c r="AB269" s="2"/>
      <c r="AC269" s="25"/>
      <c r="AD269" s="2">
        <v>0.32036</v>
      </c>
      <c r="AG269" s="2">
        <f t="shared" si="1"/>
        <v>0</v>
      </c>
      <c r="AH269" s="8">
        <f>AD269+AG269</f>
        <v>0.32036</v>
      </c>
      <c r="AI269" s="2"/>
    </row>
    <row r="270">
      <c r="A270" s="2">
        <v>1.0</v>
      </c>
      <c r="B270" s="2" t="s">
        <v>205</v>
      </c>
      <c r="C270" s="2" t="s">
        <v>207</v>
      </c>
      <c r="D270" s="2" t="s">
        <v>86</v>
      </c>
      <c r="E270" s="33" t="s">
        <v>90</v>
      </c>
      <c r="F270" s="2" t="s">
        <v>169</v>
      </c>
      <c r="G270" s="2">
        <v>3.0</v>
      </c>
      <c r="H270" s="2" t="s">
        <v>172</v>
      </c>
      <c r="I270" s="2"/>
      <c r="AA270" s="25"/>
      <c r="AB270" s="2"/>
      <c r="AC270" s="25"/>
      <c r="AG270" s="2">
        <f t="shared" si="1"/>
        <v>0</v>
      </c>
      <c r="AH270" s="8"/>
      <c r="AI270" s="2"/>
    </row>
    <row r="271">
      <c r="A271" s="2">
        <v>1.0</v>
      </c>
      <c r="B271" s="2" t="s">
        <v>205</v>
      </c>
      <c r="C271" s="2" t="s">
        <v>207</v>
      </c>
      <c r="D271" s="2" t="s">
        <v>78</v>
      </c>
      <c r="E271" s="33" t="s">
        <v>92</v>
      </c>
      <c r="F271" s="2" t="s">
        <v>169</v>
      </c>
      <c r="G271" s="2">
        <v>4.0</v>
      </c>
      <c r="H271" s="2" t="s">
        <v>173</v>
      </c>
      <c r="I271" s="23">
        <v>45700.0</v>
      </c>
      <c r="AA271" s="25"/>
      <c r="AB271" s="2"/>
      <c r="AC271" s="25"/>
      <c r="AD271" s="2">
        <v>0.19239</v>
      </c>
      <c r="AG271" s="2">
        <f t="shared" si="1"/>
        <v>0</v>
      </c>
      <c r="AH271" s="8">
        <f>AD271+AG271</f>
        <v>0.19239</v>
      </c>
      <c r="AI271" s="2"/>
    </row>
    <row r="272">
      <c r="A272" s="2">
        <v>1.0</v>
      </c>
      <c r="B272" s="2" t="s">
        <v>205</v>
      </c>
      <c r="C272" s="2" t="s">
        <v>206</v>
      </c>
      <c r="D272" s="2" t="s">
        <v>86</v>
      </c>
      <c r="E272" s="33" t="s">
        <v>90</v>
      </c>
      <c r="F272" s="2" t="s">
        <v>169</v>
      </c>
      <c r="G272" s="2">
        <v>5.0</v>
      </c>
      <c r="H272" s="2" t="s">
        <v>174</v>
      </c>
      <c r="I272" s="2"/>
      <c r="AA272" s="25"/>
      <c r="AB272" s="2"/>
      <c r="AC272" s="25"/>
      <c r="AG272" s="2">
        <f t="shared" si="1"/>
        <v>0</v>
      </c>
      <c r="AH272" s="8"/>
      <c r="AI272" s="2"/>
    </row>
    <row r="273">
      <c r="A273" s="2">
        <v>1.0</v>
      </c>
      <c r="B273" s="2" t="s">
        <v>205</v>
      </c>
      <c r="C273" s="2" t="s">
        <v>206</v>
      </c>
      <c r="D273" s="2" t="s">
        <v>86</v>
      </c>
      <c r="E273" s="33" t="s">
        <v>106</v>
      </c>
      <c r="F273" s="2" t="s">
        <v>169</v>
      </c>
      <c r="G273" s="2">
        <v>6.0</v>
      </c>
      <c r="H273" s="2" t="s">
        <v>175</v>
      </c>
      <c r="I273" s="2"/>
      <c r="AA273" s="25"/>
      <c r="AB273" s="2"/>
      <c r="AC273" s="25"/>
      <c r="AG273" s="2">
        <f t="shared" si="1"/>
        <v>0</v>
      </c>
      <c r="AH273" s="8"/>
      <c r="AI273" s="2"/>
    </row>
    <row r="274">
      <c r="A274" s="2">
        <v>1.0</v>
      </c>
      <c r="B274" s="2" t="s">
        <v>205</v>
      </c>
      <c r="C274" s="2" t="s">
        <v>206</v>
      </c>
      <c r="D274" s="2" t="s">
        <v>86</v>
      </c>
      <c r="E274" s="33" t="s">
        <v>84</v>
      </c>
      <c r="F274" s="2" t="s">
        <v>169</v>
      </c>
      <c r="G274" s="2">
        <v>7.0</v>
      </c>
      <c r="H274" s="2" t="s">
        <v>176</v>
      </c>
      <c r="I274" s="2"/>
      <c r="AA274" s="25"/>
      <c r="AB274" s="2"/>
      <c r="AC274" s="25"/>
      <c r="AG274" s="2">
        <f t="shared" si="1"/>
        <v>0</v>
      </c>
      <c r="AH274" s="8"/>
      <c r="AI274" s="2"/>
    </row>
    <row r="275">
      <c r="A275" s="2">
        <v>1.0</v>
      </c>
      <c r="B275" s="2" t="s">
        <v>205</v>
      </c>
      <c r="C275" s="2" t="s">
        <v>206</v>
      </c>
      <c r="D275" s="2" t="s">
        <v>78</v>
      </c>
      <c r="E275" s="33" t="s">
        <v>99</v>
      </c>
      <c r="F275" s="2" t="s">
        <v>169</v>
      </c>
      <c r="G275" s="2">
        <v>8.0</v>
      </c>
      <c r="H275" s="2" t="s">
        <v>177</v>
      </c>
      <c r="I275" s="23">
        <v>45700.0</v>
      </c>
      <c r="AA275" s="25"/>
      <c r="AB275" s="2"/>
      <c r="AC275" s="25"/>
      <c r="AD275" s="2">
        <v>0.19468</v>
      </c>
      <c r="AG275" s="2">
        <f t="shared" si="1"/>
        <v>0</v>
      </c>
      <c r="AH275" s="8">
        <f t="shared" ref="AH275:AH276" si="50">AD275+AG275</f>
        <v>0.19468</v>
      </c>
      <c r="AI275" s="2"/>
    </row>
    <row r="276">
      <c r="A276" s="2">
        <v>1.0</v>
      </c>
      <c r="B276" s="2" t="s">
        <v>205</v>
      </c>
      <c r="C276" s="2" t="s">
        <v>206</v>
      </c>
      <c r="D276" s="2" t="s">
        <v>78</v>
      </c>
      <c r="E276" s="33" t="s">
        <v>99</v>
      </c>
      <c r="F276" s="2" t="s">
        <v>169</v>
      </c>
      <c r="G276" s="2">
        <v>9.0</v>
      </c>
      <c r="H276" s="2" t="s">
        <v>179</v>
      </c>
      <c r="I276" s="23">
        <v>45700.0</v>
      </c>
      <c r="AA276" s="25"/>
      <c r="AB276" s="2"/>
      <c r="AC276" s="25"/>
      <c r="AD276" s="2">
        <v>0.30196</v>
      </c>
      <c r="AG276" s="2">
        <f t="shared" si="1"/>
        <v>0</v>
      </c>
      <c r="AH276" s="8">
        <f t="shared" si="50"/>
        <v>0.30196</v>
      </c>
      <c r="AI276" s="2"/>
    </row>
    <row r="277">
      <c r="A277" s="2">
        <v>1.0</v>
      </c>
      <c r="B277" s="2" t="s">
        <v>205</v>
      </c>
      <c r="C277" s="2" t="s">
        <v>206</v>
      </c>
      <c r="D277" s="2" t="s">
        <v>86</v>
      </c>
      <c r="E277" s="33" t="s">
        <v>92</v>
      </c>
      <c r="F277" s="2" t="s">
        <v>169</v>
      </c>
      <c r="G277" s="2">
        <v>10.0</v>
      </c>
      <c r="H277" s="2" t="s">
        <v>180</v>
      </c>
      <c r="I277" s="2"/>
      <c r="AA277" s="25"/>
      <c r="AB277" s="2"/>
      <c r="AC277" s="25"/>
      <c r="AG277" s="2">
        <f t="shared" si="1"/>
        <v>0</v>
      </c>
      <c r="AH277" s="8"/>
      <c r="AI277" s="2"/>
    </row>
    <row r="278">
      <c r="A278" s="2">
        <v>1.0</v>
      </c>
      <c r="B278" s="2" t="s">
        <v>205</v>
      </c>
      <c r="C278" s="2" t="s">
        <v>207</v>
      </c>
      <c r="D278" s="2" t="s">
        <v>78</v>
      </c>
      <c r="E278" s="33" t="s">
        <v>90</v>
      </c>
      <c r="F278" s="2" t="s">
        <v>169</v>
      </c>
      <c r="G278" s="2">
        <v>11.0</v>
      </c>
      <c r="H278" s="2" t="s">
        <v>181</v>
      </c>
      <c r="I278" s="2"/>
      <c r="AA278" s="25"/>
      <c r="AB278" s="2"/>
      <c r="AC278" s="25"/>
      <c r="AG278" s="2">
        <f t="shared" si="1"/>
        <v>0</v>
      </c>
      <c r="AH278" s="8"/>
      <c r="AI278" s="2"/>
    </row>
    <row r="279">
      <c r="A279" s="2">
        <v>1.0</v>
      </c>
      <c r="B279" s="2" t="s">
        <v>205</v>
      </c>
      <c r="C279" s="2" t="s">
        <v>207</v>
      </c>
      <c r="D279" s="2" t="s">
        <v>78</v>
      </c>
      <c r="E279" s="33" t="s">
        <v>79</v>
      </c>
      <c r="F279" s="2" t="s">
        <v>169</v>
      </c>
      <c r="G279" s="2">
        <v>12.0</v>
      </c>
      <c r="H279" s="2" t="s">
        <v>182</v>
      </c>
      <c r="I279" s="2"/>
      <c r="AA279" s="25"/>
      <c r="AB279" s="2"/>
      <c r="AC279" s="25"/>
      <c r="AG279" s="2">
        <f t="shared" si="1"/>
        <v>0</v>
      </c>
      <c r="AH279" s="8"/>
      <c r="AI279" s="2"/>
    </row>
    <row r="280">
      <c r="A280" s="2">
        <v>1.0</v>
      </c>
      <c r="B280" s="2" t="s">
        <v>205</v>
      </c>
      <c r="C280" s="2" t="s">
        <v>206</v>
      </c>
      <c r="D280" s="2" t="s">
        <v>86</v>
      </c>
      <c r="E280" s="33" t="s">
        <v>99</v>
      </c>
      <c r="F280" s="2" t="s">
        <v>169</v>
      </c>
      <c r="G280" s="2">
        <v>13.0</v>
      </c>
      <c r="H280" s="2" t="s">
        <v>183</v>
      </c>
      <c r="I280" s="2"/>
      <c r="AA280" s="25"/>
      <c r="AB280" s="2"/>
      <c r="AC280" s="25"/>
      <c r="AG280" s="2">
        <f t="shared" si="1"/>
        <v>0</v>
      </c>
      <c r="AH280" s="8"/>
      <c r="AI280" s="2"/>
    </row>
    <row r="281">
      <c r="A281" s="2">
        <v>1.0</v>
      </c>
      <c r="B281" s="2" t="s">
        <v>205</v>
      </c>
      <c r="C281" s="2" t="s">
        <v>206</v>
      </c>
      <c r="D281" s="2" t="s">
        <v>78</v>
      </c>
      <c r="E281" s="33" t="s">
        <v>87</v>
      </c>
      <c r="F281" s="2" t="s">
        <v>169</v>
      </c>
      <c r="G281" s="2">
        <v>14.0</v>
      </c>
      <c r="H281" s="2" t="s">
        <v>184</v>
      </c>
      <c r="I281" s="2"/>
      <c r="AA281" s="25"/>
      <c r="AB281" s="2"/>
      <c r="AC281" s="25"/>
      <c r="AG281" s="2">
        <f t="shared" si="1"/>
        <v>0</v>
      </c>
      <c r="AH281" s="8"/>
      <c r="AI281" s="2"/>
    </row>
    <row r="282">
      <c r="A282" s="2">
        <v>1.0</v>
      </c>
      <c r="B282" s="2" t="s">
        <v>205</v>
      </c>
      <c r="C282" s="2" t="s">
        <v>206</v>
      </c>
      <c r="D282" s="2" t="s">
        <v>86</v>
      </c>
      <c r="E282" s="33" t="s">
        <v>87</v>
      </c>
      <c r="F282" s="2" t="s">
        <v>186</v>
      </c>
      <c r="G282" s="2">
        <v>1.0</v>
      </c>
      <c r="H282" s="2" t="s">
        <v>187</v>
      </c>
      <c r="I282" s="2"/>
      <c r="AA282" s="25"/>
      <c r="AB282" s="2"/>
      <c r="AC282" s="25"/>
      <c r="AG282" s="2">
        <f t="shared" si="1"/>
        <v>0</v>
      </c>
      <c r="AH282" s="8"/>
      <c r="AI282" s="2"/>
    </row>
    <row r="283">
      <c r="A283" s="2">
        <v>1.0</v>
      </c>
      <c r="B283" s="2" t="s">
        <v>205</v>
      </c>
      <c r="C283" s="2" t="s">
        <v>206</v>
      </c>
      <c r="D283" s="2" t="s">
        <v>78</v>
      </c>
      <c r="E283" s="33" t="s">
        <v>92</v>
      </c>
      <c r="F283" s="2" t="s">
        <v>186</v>
      </c>
      <c r="G283" s="2">
        <v>2.0</v>
      </c>
      <c r="H283" s="2" t="s">
        <v>188</v>
      </c>
      <c r="I283" s="23">
        <v>45700.0</v>
      </c>
      <c r="AA283" s="25"/>
      <c r="AB283" s="2"/>
      <c r="AC283" s="25"/>
      <c r="AD283" s="2">
        <v>0.27592</v>
      </c>
      <c r="AG283" s="2">
        <f t="shared" si="1"/>
        <v>0</v>
      </c>
      <c r="AH283" s="8">
        <f>AD283+AG283</f>
        <v>0.27592</v>
      </c>
      <c r="AI283" s="2"/>
    </row>
    <row r="284">
      <c r="A284" s="2">
        <v>1.0</v>
      </c>
      <c r="B284" s="2" t="s">
        <v>205</v>
      </c>
      <c r="C284" s="2" t="s">
        <v>206</v>
      </c>
      <c r="D284" s="2" t="s">
        <v>86</v>
      </c>
      <c r="E284" s="33" t="s">
        <v>99</v>
      </c>
      <c r="F284" s="2" t="s">
        <v>186</v>
      </c>
      <c r="G284" s="2">
        <v>3.0</v>
      </c>
      <c r="H284" s="2" t="s">
        <v>189</v>
      </c>
      <c r="I284" s="2"/>
      <c r="AA284" s="25"/>
      <c r="AB284" s="2"/>
      <c r="AC284" s="25"/>
      <c r="AG284" s="2">
        <f t="shared" si="1"/>
        <v>0</v>
      </c>
      <c r="AH284" s="8"/>
      <c r="AI284" s="2"/>
    </row>
    <row r="285">
      <c r="A285" s="2">
        <v>1.0</v>
      </c>
      <c r="B285" s="2" t="s">
        <v>205</v>
      </c>
      <c r="C285" s="2" t="s">
        <v>206</v>
      </c>
      <c r="D285" s="2" t="s">
        <v>86</v>
      </c>
      <c r="E285" s="33" t="s">
        <v>90</v>
      </c>
      <c r="F285" s="2" t="s">
        <v>186</v>
      </c>
      <c r="G285" s="2">
        <v>4.0</v>
      </c>
      <c r="H285" s="2" t="s">
        <v>190</v>
      </c>
      <c r="I285" s="2"/>
      <c r="AA285" s="25"/>
      <c r="AB285" s="2"/>
      <c r="AC285" s="25"/>
      <c r="AG285" s="2">
        <f t="shared" si="1"/>
        <v>0</v>
      </c>
      <c r="AH285" s="8"/>
      <c r="AI285" s="2"/>
    </row>
    <row r="286">
      <c r="A286" s="2">
        <v>1.0</v>
      </c>
      <c r="B286" s="2" t="s">
        <v>205</v>
      </c>
      <c r="C286" s="2" t="s">
        <v>206</v>
      </c>
      <c r="D286" s="2" t="s">
        <v>86</v>
      </c>
      <c r="E286" s="33" t="s">
        <v>92</v>
      </c>
      <c r="F286" s="2" t="s">
        <v>186</v>
      </c>
      <c r="G286" s="2">
        <v>5.0</v>
      </c>
      <c r="H286" s="2" t="s">
        <v>191</v>
      </c>
      <c r="I286" s="2"/>
      <c r="AA286" s="25"/>
      <c r="AB286" s="2"/>
      <c r="AC286" s="25"/>
      <c r="AG286" s="2">
        <f t="shared" si="1"/>
        <v>0</v>
      </c>
      <c r="AH286" s="8"/>
      <c r="AI286" s="2"/>
    </row>
    <row r="287">
      <c r="A287" s="2">
        <v>1.0</v>
      </c>
      <c r="B287" s="2" t="s">
        <v>205</v>
      </c>
      <c r="C287" s="2" t="s">
        <v>207</v>
      </c>
      <c r="D287" s="2" t="s">
        <v>78</v>
      </c>
      <c r="E287" s="33" t="s">
        <v>99</v>
      </c>
      <c r="F287" s="2" t="s">
        <v>186</v>
      </c>
      <c r="G287" s="2">
        <v>6.0</v>
      </c>
      <c r="H287" s="2" t="s">
        <v>192</v>
      </c>
      <c r="I287" s="23">
        <v>45700.0</v>
      </c>
      <c r="AA287" s="25"/>
      <c r="AB287" s="2"/>
      <c r="AC287" s="25"/>
      <c r="AD287" s="2">
        <v>0.03348</v>
      </c>
      <c r="AG287" s="2">
        <f t="shared" si="1"/>
        <v>0</v>
      </c>
      <c r="AH287" s="8">
        <f t="shared" ref="AH287:AH289" si="51">AD287+AG287</f>
        <v>0.03348</v>
      </c>
      <c r="AI287" s="2"/>
    </row>
    <row r="288">
      <c r="A288" s="2">
        <v>1.0</v>
      </c>
      <c r="B288" s="2" t="s">
        <v>205</v>
      </c>
      <c r="C288" s="2" t="s">
        <v>206</v>
      </c>
      <c r="D288" s="2" t="s">
        <v>78</v>
      </c>
      <c r="E288" s="33" t="s">
        <v>92</v>
      </c>
      <c r="F288" s="2" t="s">
        <v>186</v>
      </c>
      <c r="G288" s="2">
        <v>7.0</v>
      </c>
      <c r="H288" s="2" t="s">
        <v>194</v>
      </c>
      <c r="I288" s="23">
        <v>45700.0</v>
      </c>
      <c r="AA288" s="25"/>
      <c r="AB288" s="2"/>
      <c r="AC288" s="25"/>
      <c r="AD288" s="2">
        <v>0.36505</v>
      </c>
      <c r="AG288" s="2">
        <f t="shared" si="1"/>
        <v>0</v>
      </c>
      <c r="AH288" s="8">
        <f t="shared" si="51"/>
        <v>0.36505</v>
      </c>
      <c r="AI288" s="2"/>
    </row>
    <row r="289">
      <c r="A289" s="2">
        <v>1.0</v>
      </c>
      <c r="B289" s="2" t="s">
        <v>205</v>
      </c>
      <c r="C289" s="2" t="s">
        <v>207</v>
      </c>
      <c r="D289" s="2" t="s">
        <v>78</v>
      </c>
      <c r="E289" s="33" t="s">
        <v>106</v>
      </c>
      <c r="F289" s="2" t="s">
        <v>186</v>
      </c>
      <c r="G289" s="2">
        <v>8.0</v>
      </c>
      <c r="H289" s="2" t="s">
        <v>195</v>
      </c>
      <c r="I289" s="23">
        <v>45700.0</v>
      </c>
      <c r="AA289" s="25"/>
      <c r="AB289" s="2"/>
      <c r="AC289" s="25"/>
      <c r="AD289" s="2">
        <v>0.19359</v>
      </c>
      <c r="AG289" s="2">
        <f t="shared" si="1"/>
        <v>0</v>
      </c>
      <c r="AH289" s="8">
        <f t="shared" si="51"/>
        <v>0.19359</v>
      </c>
      <c r="AI289" s="2"/>
    </row>
    <row r="290">
      <c r="A290" s="2">
        <v>1.0</v>
      </c>
      <c r="B290" s="2" t="s">
        <v>205</v>
      </c>
      <c r="C290" s="2" t="s">
        <v>207</v>
      </c>
      <c r="D290" s="2" t="s">
        <v>78</v>
      </c>
      <c r="E290" s="33" t="s">
        <v>84</v>
      </c>
      <c r="F290" s="2" t="s">
        <v>186</v>
      </c>
      <c r="G290" s="2">
        <v>9.0</v>
      </c>
      <c r="H290" s="2" t="s">
        <v>196</v>
      </c>
      <c r="I290" s="2"/>
      <c r="AA290" s="25"/>
      <c r="AB290" s="2"/>
      <c r="AC290" s="25"/>
      <c r="AD290" s="2" t="s">
        <v>203</v>
      </c>
      <c r="AG290" s="2">
        <f t="shared" si="1"/>
        <v>0</v>
      </c>
      <c r="AH290" s="8"/>
      <c r="AI290" s="2"/>
    </row>
    <row r="291">
      <c r="A291" s="2">
        <v>1.0</v>
      </c>
      <c r="B291" s="2" t="s">
        <v>205</v>
      </c>
      <c r="C291" s="2" t="s">
        <v>207</v>
      </c>
      <c r="D291" s="2" t="s">
        <v>86</v>
      </c>
      <c r="E291" s="33" t="s">
        <v>90</v>
      </c>
      <c r="F291" s="2" t="s">
        <v>186</v>
      </c>
      <c r="G291" s="2">
        <v>10.0</v>
      </c>
      <c r="H291" s="2" t="s">
        <v>197</v>
      </c>
      <c r="I291" s="2"/>
      <c r="AA291" s="25"/>
      <c r="AB291" s="2"/>
      <c r="AC291" s="25"/>
      <c r="AG291" s="2">
        <f t="shared" si="1"/>
        <v>0</v>
      </c>
      <c r="AH291" s="8"/>
      <c r="AI291" s="2"/>
    </row>
    <row r="292">
      <c r="A292" s="2">
        <v>1.0</v>
      </c>
      <c r="B292" s="2" t="s">
        <v>205</v>
      </c>
      <c r="C292" s="2" t="s">
        <v>206</v>
      </c>
      <c r="D292" s="2" t="s">
        <v>86</v>
      </c>
      <c r="E292" s="33" t="s">
        <v>79</v>
      </c>
      <c r="F292" s="2" t="s">
        <v>186</v>
      </c>
      <c r="G292" s="2">
        <v>11.0</v>
      </c>
      <c r="H292" s="2" t="s">
        <v>198</v>
      </c>
      <c r="I292" s="2"/>
      <c r="AA292" s="25"/>
      <c r="AB292" s="2"/>
      <c r="AC292" s="25"/>
      <c r="AG292" s="2">
        <f t="shared" si="1"/>
        <v>0</v>
      </c>
      <c r="AH292" s="8"/>
      <c r="AI292" s="2"/>
    </row>
    <row r="293">
      <c r="A293" s="2">
        <v>1.0</v>
      </c>
      <c r="B293" s="2" t="s">
        <v>205</v>
      </c>
      <c r="C293" s="2" t="s">
        <v>207</v>
      </c>
      <c r="D293" s="2" t="s">
        <v>86</v>
      </c>
      <c r="E293" s="33" t="s">
        <v>87</v>
      </c>
      <c r="F293" s="2" t="s">
        <v>186</v>
      </c>
      <c r="G293" s="2">
        <v>12.0</v>
      </c>
      <c r="H293" s="2" t="s">
        <v>199</v>
      </c>
      <c r="I293" s="2"/>
      <c r="AA293" s="25"/>
      <c r="AB293" s="2"/>
      <c r="AC293" s="25"/>
      <c r="AG293" s="2">
        <f t="shared" si="1"/>
        <v>0</v>
      </c>
      <c r="AH293" s="8"/>
      <c r="AI293" s="2"/>
    </row>
    <row r="294">
      <c r="A294" s="2">
        <v>1.0</v>
      </c>
      <c r="B294" s="2" t="s">
        <v>205</v>
      </c>
      <c r="C294" s="2" t="s">
        <v>207</v>
      </c>
      <c r="D294" s="2" t="s">
        <v>86</v>
      </c>
      <c r="E294" s="33" t="s">
        <v>106</v>
      </c>
      <c r="F294" s="2" t="s">
        <v>186</v>
      </c>
      <c r="G294" s="2">
        <v>13.0</v>
      </c>
      <c r="H294" s="2" t="s">
        <v>200</v>
      </c>
      <c r="I294" s="2"/>
      <c r="AA294" s="25"/>
      <c r="AB294" s="2"/>
      <c r="AC294" s="25"/>
      <c r="AG294" s="2">
        <f t="shared" si="1"/>
        <v>0</v>
      </c>
      <c r="AH294" s="8"/>
      <c r="AI294" s="2"/>
    </row>
    <row r="295">
      <c r="A295" s="2">
        <v>1.0</v>
      </c>
      <c r="B295" s="2" t="s">
        <v>205</v>
      </c>
      <c r="C295" s="2" t="s">
        <v>207</v>
      </c>
      <c r="D295" s="2" t="s">
        <v>86</v>
      </c>
      <c r="E295" s="33" t="s">
        <v>79</v>
      </c>
      <c r="F295" s="2" t="s">
        <v>186</v>
      </c>
      <c r="G295" s="2">
        <v>14.0</v>
      </c>
      <c r="H295" s="2" t="s">
        <v>201</v>
      </c>
      <c r="I295" s="2"/>
      <c r="AA295" s="25"/>
      <c r="AB295" s="2"/>
      <c r="AC295" s="25"/>
      <c r="AG295" s="2">
        <f t="shared" si="1"/>
        <v>0</v>
      </c>
      <c r="AH295" s="8"/>
      <c r="AI295" s="2"/>
    </row>
  </sheetData>
  <autoFilter ref="$A$1:$AI$295"/>
  <drawing r:id="rId1"/>
</worksheet>
</file>